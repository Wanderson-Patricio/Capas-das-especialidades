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 Campori" sheetId="1" r:id="rId4"/>
    <sheet state="visible" name="Vendas - 2024-11-24" sheetId="2" r:id="rId5"/>
    <sheet state="visible" name="Lista de Membros" sheetId="3" r:id="rId6"/>
    <sheet state="visible" name="Vendas - 27-10-2024" sheetId="4" r:id="rId7"/>
    <sheet state="visible" name="Inventário de Bens" sheetId="5" r:id="rId8"/>
  </sheets>
  <definedNames/>
  <calcPr/>
  <extLst>
    <ext uri="GoogleSheetsCustomDataVersion2">
      <go:sheetsCustomData xmlns:go="http://customooxmlschemas.google.com/" r:id="rId9" roundtripDataChecksum="KVJkXVW5xGgswmz/w56twxRGv0+A/59UvZnoLNGBlwA="/>
    </ext>
  </extLst>
</workbook>
</file>

<file path=xl/sharedStrings.xml><?xml version="1.0" encoding="utf-8"?>
<sst xmlns="http://schemas.openxmlformats.org/spreadsheetml/2006/main" count="349" uniqueCount="192">
  <si>
    <t>Orçamento Inscrições Campori APV - 2025</t>
  </si>
  <si>
    <t>Preço por inscrição</t>
  </si>
  <si>
    <t>Unidades</t>
  </si>
  <si>
    <t>Ativos</t>
  </si>
  <si>
    <t>Total</t>
  </si>
  <si>
    <t>Sem diretoria</t>
  </si>
  <si>
    <t>Ativos sem diretoria</t>
  </si>
  <si>
    <t>Leão</t>
  </si>
  <si>
    <t>Expectativa de Pagamento</t>
  </si>
  <si>
    <t>Polar</t>
  </si>
  <si>
    <t>Vombate</t>
  </si>
  <si>
    <t>Valor em Caixa</t>
  </si>
  <si>
    <t xml:space="preserve">Valor a conseguir para os desbravadores </t>
  </si>
  <si>
    <t>Valor Total a conseguir</t>
  </si>
  <si>
    <t>Águia Real</t>
  </si>
  <si>
    <t>Falcão (Diretoria)</t>
  </si>
  <si>
    <t>Total Desbravadores</t>
  </si>
  <si>
    <t>Valor em Mãos</t>
  </si>
  <si>
    <t>Doações</t>
  </si>
  <si>
    <t>Vendas</t>
  </si>
  <si>
    <t>Pagamento da Diretoria</t>
  </si>
  <si>
    <t>Inscrições por padrinho</t>
  </si>
  <si>
    <t>Valor</t>
  </si>
  <si>
    <t>Pais que pagarão</t>
  </si>
  <si>
    <t>Diessica</t>
  </si>
  <si>
    <t xml:space="preserve">Total + Diretoria </t>
  </si>
  <si>
    <t>Edivanio</t>
  </si>
  <si>
    <t>Luciene</t>
  </si>
  <si>
    <t>Kelly</t>
  </si>
  <si>
    <t>cleyce</t>
  </si>
  <si>
    <t>Nome</t>
  </si>
  <si>
    <t xml:space="preserve">Endereço </t>
  </si>
  <si>
    <t>Telefone</t>
  </si>
  <si>
    <t>Quantidade</t>
  </si>
  <si>
    <t>Sabores</t>
  </si>
  <si>
    <t>Vendedor</t>
  </si>
  <si>
    <t xml:space="preserve">Situação </t>
  </si>
  <si>
    <t>Eduarda</t>
  </si>
  <si>
    <t xml:space="preserve">Retirar na reunião </t>
  </si>
  <si>
    <t>2 - Maracujá</t>
  </si>
  <si>
    <t>Wanderson</t>
  </si>
  <si>
    <t>PAGO</t>
  </si>
  <si>
    <t>Patrick</t>
  </si>
  <si>
    <t xml:space="preserve">Entregar no serviço </t>
  </si>
  <si>
    <t xml:space="preserve">Wanderson </t>
  </si>
  <si>
    <t xml:space="preserve">Matheus </t>
  </si>
  <si>
    <t xml:space="preserve">Fabricio </t>
  </si>
  <si>
    <t xml:space="preserve">Doação </t>
  </si>
  <si>
    <t>Luiz Tavares</t>
  </si>
  <si>
    <t xml:space="preserve">PAGO </t>
  </si>
  <si>
    <t xml:space="preserve">Leão </t>
  </si>
  <si>
    <t>Rodrigo</t>
  </si>
  <si>
    <t>Gustavo</t>
  </si>
  <si>
    <t>Esther</t>
  </si>
  <si>
    <t>Vivi</t>
  </si>
  <si>
    <t>Gabriel</t>
  </si>
  <si>
    <t>João Victor</t>
  </si>
  <si>
    <t>Jamily</t>
  </si>
  <si>
    <t>Nathiely</t>
  </si>
  <si>
    <t xml:space="preserve">Jhovana </t>
  </si>
  <si>
    <t>Pedro</t>
  </si>
  <si>
    <t>Joalisson</t>
  </si>
  <si>
    <t xml:space="preserve">Emily </t>
  </si>
  <si>
    <t>Duda</t>
  </si>
  <si>
    <t xml:space="preserve">Henrique </t>
  </si>
  <si>
    <t xml:space="preserve">Kaio </t>
  </si>
  <si>
    <t>Janderson</t>
  </si>
  <si>
    <t>Gleice</t>
  </si>
  <si>
    <t xml:space="preserve">Fernanda </t>
  </si>
  <si>
    <t>Fabiano</t>
  </si>
  <si>
    <t>Luiz</t>
  </si>
  <si>
    <t>Samuel</t>
  </si>
  <si>
    <t>Sabrina</t>
  </si>
  <si>
    <t>Victoria</t>
  </si>
  <si>
    <t>Jesus</t>
  </si>
  <si>
    <t>Ruth</t>
  </si>
  <si>
    <t>Ryan</t>
  </si>
  <si>
    <t xml:space="preserve">Alexandre </t>
  </si>
  <si>
    <t>João</t>
  </si>
  <si>
    <t>Adriana</t>
  </si>
  <si>
    <t xml:space="preserve">Kauã </t>
  </si>
  <si>
    <t>Thainá</t>
  </si>
  <si>
    <t>Davi</t>
  </si>
  <si>
    <t>Gabriela</t>
  </si>
  <si>
    <t>TOTAL</t>
  </si>
  <si>
    <t>TOTAL DESBRAVADORES</t>
  </si>
  <si>
    <t>COMPRAS</t>
  </si>
  <si>
    <t>Endereço</t>
  </si>
  <si>
    <t>Contato</t>
  </si>
  <si>
    <t>Forma de 
Pagamento</t>
  </si>
  <si>
    <t>Situação</t>
  </si>
  <si>
    <t>Valor da Marmita</t>
  </si>
  <si>
    <t>Andressa</t>
  </si>
  <si>
    <t>Av. do Contorno, 598</t>
  </si>
  <si>
    <t>55 (11) 95818-0031</t>
  </si>
  <si>
    <t>PIX</t>
  </si>
  <si>
    <t>Jhovana</t>
  </si>
  <si>
    <t>entregue</t>
  </si>
  <si>
    <t>Kelly Lacerda</t>
  </si>
  <si>
    <t>R. José Coutinho da Silva, 398</t>
  </si>
  <si>
    <t>55 (11) 96959-6700</t>
  </si>
  <si>
    <t>Total Vendido</t>
  </si>
  <si>
    <t>Nazaré</t>
  </si>
  <si>
    <t>R. José de Souza Mendes, 74</t>
  </si>
  <si>
    <t>55 (11) 98930-7911</t>
  </si>
  <si>
    <t>Flavio</t>
  </si>
  <si>
    <t>R. Manoel Marques Brasão</t>
  </si>
  <si>
    <t>55 (11) 96250-5187</t>
  </si>
  <si>
    <t>A PAGAR</t>
  </si>
  <si>
    <t>R. Irapuã, 215</t>
  </si>
  <si>
    <t>55 (11) 96020-2927</t>
  </si>
  <si>
    <t xml:space="preserve">entregue </t>
  </si>
  <si>
    <t>Total Pago</t>
  </si>
  <si>
    <t>R. Poço Branco, 195</t>
  </si>
  <si>
    <t>55 (88) 99251-9066</t>
  </si>
  <si>
    <t>Total Arrecadado</t>
  </si>
  <si>
    <t>Lili</t>
  </si>
  <si>
    <t>R. Nicolau Felippe, 406</t>
  </si>
  <si>
    <t>55 (11) 98592-9172</t>
  </si>
  <si>
    <t>Lucas</t>
  </si>
  <si>
    <t>Av. Sorata, 809 - Jd Lenize</t>
  </si>
  <si>
    <t>55 (11) 94827-0494</t>
  </si>
  <si>
    <t>Valor a Receber</t>
  </si>
  <si>
    <t>Mazinha</t>
  </si>
  <si>
    <t>R. Kazuko Fuji Shimizu, 282</t>
  </si>
  <si>
    <t>55 (11) 98032-6619</t>
  </si>
  <si>
    <t>DINHEIRO</t>
  </si>
  <si>
    <t>Darci</t>
  </si>
  <si>
    <t>R. Wanderley Gonçalves de Rocha, 49</t>
  </si>
  <si>
    <t>55 (11) 95598-9825</t>
  </si>
  <si>
    <t>Henrique</t>
  </si>
  <si>
    <t>Eliana</t>
  </si>
  <si>
    <t>Travessa Tucurutu, 59 - St. Dumont</t>
  </si>
  <si>
    <t>55 (11) 99411-1550</t>
  </si>
  <si>
    <t>Glorineide</t>
  </si>
  <si>
    <t>R. Manoel Marques Brasão, 93</t>
  </si>
  <si>
    <t>55 (11) 94655-0516</t>
  </si>
  <si>
    <t>Alessandra</t>
  </si>
  <si>
    <t>R. Maria de Fátima Stande, 458</t>
  </si>
  <si>
    <t>55 (11) 98984-3712</t>
  </si>
  <si>
    <t>Fátima</t>
  </si>
  <si>
    <t>Viela Tibre, 17, Jd São João</t>
  </si>
  <si>
    <t>55 (11) 96663-1702</t>
  </si>
  <si>
    <t>Cinthia</t>
  </si>
  <si>
    <t>R. Taboleiro Grande, 175 - St. Dumont</t>
  </si>
  <si>
    <t>55 (11) 98220-9224</t>
  </si>
  <si>
    <t>Gildevan</t>
  </si>
  <si>
    <t>R. Luis Caputo</t>
  </si>
  <si>
    <t>55 (11) 98898-4859</t>
  </si>
  <si>
    <t>Marcos</t>
  </si>
  <si>
    <t>Rocinha</t>
  </si>
  <si>
    <t>55 (11) 98876-0368</t>
  </si>
  <si>
    <t>Bruno</t>
  </si>
  <si>
    <t>Est. Do Saboo, 1425</t>
  </si>
  <si>
    <t>55 (11) 94603-8869</t>
  </si>
  <si>
    <t>Kauã</t>
  </si>
  <si>
    <t>A retirar</t>
  </si>
  <si>
    <t>55 (11) 968042283</t>
  </si>
  <si>
    <t>Av. José Brumati, 962, AP 12, Bloco I</t>
  </si>
  <si>
    <t>55 (11) 93017-7589</t>
  </si>
  <si>
    <t>Bia</t>
  </si>
  <si>
    <t>55 (11) 95708-7464</t>
  </si>
  <si>
    <t>Estrada do Nazaré</t>
  </si>
  <si>
    <t>55 (11) 97952-6699</t>
  </si>
  <si>
    <t xml:space="preserve">Manoel </t>
  </si>
  <si>
    <t>55 (77) 98121-8577</t>
  </si>
  <si>
    <t>Neide</t>
  </si>
  <si>
    <t>55 (11) 96943-9476</t>
  </si>
  <si>
    <t>Jessica (Mãe da Emily)</t>
  </si>
  <si>
    <t>55 (11) 98048-5178</t>
  </si>
  <si>
    <t>Suzana</t>
  </si>
  <si>
    <t>Ao lado da casa da Diessica</t>
  </si>
  <si>
    <t>Luciana</t>
  </si>
  <si>
    <t>R. Manuel dos Santos Alcaide, 70
Jardim Portugal</t>
  </si>
  <si>
    <t>55 (11) 94865-2999</t>
  </si>
  <si>
    <t>Natália</t>
  </si>
  <si>
    <t>Av. José Brumati, 1430</t>
  </si>
  <si>
    <t>Marlene</t>
  </si>
  <si>
    <t>R. Luis Caputo, 1122</t>
  </si>
  <si>
    <t>55 (11) 97056-8175</t>
  </si>
  <si>
    <t>Lilian</t>
  </si>
  <si>
    <t>R. Valdecir Manoel Ribeiro, 208</t>
  </si>
  <si>
    <t>55 (11) 93908-7374</t>
  </si>
  <si>
    <t>Luis Gustavo</t>
  </si>
  <si>
    <t>Mara</t>
  </si>
  <si>
    <t>Padaria da Mãe do Luis</t>
  </si>
  <si>
    <t>55 (11) 98033-5212</t>
  </si>
  <si>
    <t>Descrição do bem</t>
  </si>
  <si>
    <t>Estado do(s) item(ns)</t>
  </si>
  <si>
    <t>Valor estimado por item (em R$)</t>
  </si>
  <si>
    <t>Valor Total</t>
  </si>
  <si>
    <t>Valor Total dos 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</si>
</sst>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;[Red]\-&quot;R$&quot;\ #,##0.00"/>
  </numFmts>
  <fonts count="13">
    <font>
      <sz val="10.0"/>
      <color rgb="FF000000"/>
      <name val="Arial"/>
      <scheme val="minor"/>
    </font>
    <font>
      <b/>
      <sz val="16.0"/>
      <color theme="1"/>
      <name val="Roboto Mono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u/>
      <sz val="10.0"/>
      <color rgb="FF000000"/>
      <name val="Arial"/>
    </font>
    <font>
      <sz val="10.0"/>
      <color rgb="FF000000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sz val="14.0"/>
      <color rgb="FF000000"/>
      <name val="ADLaM Display"/>
    </font>
    <font/>
    <font>
      <b/>
      <sz val="10.0"/>
      <color theme="1"/>
      <name val="ADLaM Display"/>
    </font>
    <font>
      <b/>
      <sz val="12.0"/>
      <color theme="1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A6E3B6"/>
        <bgColor rgb="FFA6E3B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horizontal="right"/>
    </xf>
    <xf borderId="1" fillId="0" fontId="4" numFmtId="164" xfId="0" applyBorder="1" applyFont="1" applyNumberFormat="1"/>
    <xf borderId="2" fillId="0" fontId="3" numFmtId="0" xfId="0" applyBorder="1" applyFont="1"/>
    <xf borderId="1" fillId="0" fontId="3" numFmtId="0" xfId="0" applyBorder="1" applyFont="1"/>
    <xf borderId="1" fillId="0" fontId="3" numFmtId="164" xfId="0" applyBorder="1" applyFont="1" applyNumberFormat="1"/>
    <xf borderId="1" fillId="0" fontId="3" numFmtId="164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horizontal="right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4" numFmtId="164" xfId="0" applyFont="1" applyNumberFormat="1"/>
    <xf borderId="0" fillId="0" fontId="6" numFmtId="0" xfId="0" applyFont="1"/>
    <xf borderId="0" fillId="0" fontId="4" numFmtId="0" xfId="0" applyFont="1"/>
    <xf borderId="1" fillId="0" fontId="7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2" fontId="8" numFmtId="0" xfId="0" applyAlignment="1" applyBorder="1" applyFill="1" applyFont="1">
      <alignment readingOrder="0"/>
    </xf>
    <xf borderId="2" fillId="0" fontId="9" numFmtId="0" xfId="0" applyAlignment="1" applyBorder="1" applyFont="1">
      <alignment horizontal="center"/>
    </xf>
    <xf borderId="2" fillId="0" fontId="10" numFmtId="0" xfId="0" applyBorder="1" applyFont="1"/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vertic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3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3" fontId="12" numFmtId="0" xfId="0" applyAlignment="1" applyBorder="1" applyFill="1" applyFont="1">
      <alignment horizontal="center"/>
    </xf>
  </cellXfs>
  <cellStyles count="1">
    <cellStyle xfId="0" name="Normal" builtinId="0"/>
  </cellStyles>
  <dxfs count="5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1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>
        <color rgb="FFFF0000"/>
      </font>
      <fill>
        <patternFill patternType="solid">
          <fgColor rgb="FFF28E85"/>
          <bgColor rgb="FFF28E8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4" width="12.63"/>
    <col customWidth="1" min="5" max="5" width="22.38"/>
    <col customWidth="1" min="6" max="6" width="12.63"/>
    <col customWidth="1" min="7" max="7" width="31.25"/>
    <col customWidth="1" min="8" max="8" width="18.0"/>
    <col customWidth="1" min="9" max="9" width="19.5"/>
  </cols>
  <sheetData>
    <row r="1" ht="15.75" customHeight="1">
      <c r="C1" s="1" t="s">
        <v>0</v>
      </c>
    </row>
    <row r="2" ht="15.75" customHeight="1"/>
    <row r="3" ht="15.75" customHeight="1">
      <c r="A3" s="2" t="s">
        <v>1</v>
      </c>
      <c r="B3" s="3">
        <v>225.0</v>
      </c>
    </row>
    <row r="4" ht="15.75" customHeight="1"/>
    <row r="5" ht="15.75" customHeight="1">
      <c r="A5" s="4" t="s">
        <v>2</v>
      </c>
      <c r="B5" s="4" t="s">
        <v>3</v>
      </c>
      <c r="C5" s="4" t="s">
        <v>4</v>
      </c>
      <c r="E5" s="5"/>
      <c r="F5" s="5" t="s">
        <v>4</v>
      </c>
      <c r="G5" s="5" t="s">
        <v>3</v>
      </c>
      <c r="H5" s="5" t="s">
        <v>5</v>
      </c>
      <c r="I5" s="5" t="s">
        <v>6</v>
      </c>
    </row>
    <row r="6" ht="15.75" customHeight="1">
      <c r="A6" s="5" t="s">
        <v>7</v>
      </c>
      <c r="B6" s="6">
        <v>8.0</v>
      </c>
      <c r="C6" s="6">
        <v>8.0</v>
      </c>
      <c r="E6" s="5" t="s">
        <v>8</v>
      </c>
      <c r="F6" s="7">
        <f>B3 * (C11+C10)</f>
        <v>7200</v>
      </c>
      <c r="G6" s="7" t="str">
        <f>CONCAT("R$",B3 * (B11+B10))</f>
        <v>R$7200</v>
      </c>
      <c r="H6" s="7" t="str">
        <f>CONCAT("R$",B3 * C11)</f>
        <v>R$4950</v>
      </c>
      <c r="I6" s="7">
        <f>B3 * B11</f>
        <v>4950</v>
      </c>
    </row>
    <row r="7" ht="15.75" customHeight="1">
      <c r="A7" s="5" t="s">
        <v>9</v>
      </c>
      <c r="B7" s="6">
        <v>5.0</v>
      </c>
      <c r="C7" s="6">
        <v>5.0</v>
      </c>
    </row>
    <row r="8" ht="15.75" customHeight="1">
      <c r="A8" s="5" t="s">
        <v>10</v>
      </c>
      <c r="B8" s="5">
        <v>4.0</v>
      </c>
      <c r="C8" s="5">
        <v>4.0</v>
      </c>
      <c r="E8" s="5" t="s">
        <v>11</v>
      </c>
      <c r="G8" s="8" t="s">
        <v>12</v>
      </c>
      <c r="I8" s="9" t="s">
        <v>13</v>
      </c>
    </row>
    <row r="9" ht="15.75" customHeight="1">
      <c r="A9" s="5" t="s">
        <v>14</v>
      </c>
      <c r="B9" s="5">
        <v>5.0</v>
      </c>
      <c r="C9" s="5">
        <v>5.0</v>
      </c>
      <c r="E9" s="10">
        <v>1516.62</v>
      </c>
      <c r="G9" s="11">
        <f>I6 - E15 - (B13 + B31) * B3</f>
        <v>744.38</v>
      </c>
      <c r="I9" s="12">
        <f>F6 - E15 - I12</f>
        <v>3669.38</v>
      </c>
    </row>
    <row r="10" ht="15.75" customHeight="1">
      <c r="A10" s="5" t="s">
        <v>15</v>
      </c>
      <c r="B10" s="6">
        <v>10.0</v>
      </c>
      <c r="C10" s="6">
        <v>10.0</v>
      </c>
    </row>
    <row r="11" ht="15.75" customHeight="1">
      <c r="A11" s="13" t="s">
        <v>16</v>
      </c>
      <c r="B11" s="13">
        <f t="shared" ref="B11:C11" si="1">SUM(B6:B9)</f>
        <v>22</v>
      </c>
      <c r="C11" s="13">
        <f t="shared" si="1"/>
        <v>22</v>
      </c>
      <c r="E11" s="5" t="s">
        <v>17</v>
      </c>
      <c r="G11" s="14" t="s">
        <v>18</v>
      </c>
      <c r="H11" s="14" t="s">
        <v>19</v>
      </c>
      <c r="I11" s="9" t="s">
        <v>20</v>
      </c>
    </row>
    <row r="12" ht="15.75" customHeight="1">
      <c r="E12" s="15">
        <f>G12 + H12</f>
        <v>1564</v>
      </c>
      <c r="G12" s="16">
        <v>284.0</v>
      </c>
      <c r="H12" s="16">
        <v>1280.0</v>
      </c>
      <c r="I12" s="9">
        <v>450.0</v>
      </c>
    </row>
    <row r="13" ht="15.75" customHeight="1">
      <c r="A13" s="5" t="s">
        <v>21</v>
      </c>
      <c r="B13" s="6">
        <v>2.0</v>
      </c>
    </row>
    <row r="14" ht="15.75" customHeight="1">
      <c r="A14" s="5" t="s">
        <v>22</v>
      </c>
      <c r="B14" s="17">
        <f>B13 * B3</f>
        <v>450</v>
      </c>
      <c r="E14" s="18" t="s">
        <v>4</v>
      </c>
      <c r="G14" s="19"/>
    </row>
    <row r="15" ht="15.75" customHeight="1">
      <c r="E15" s="20">
        <f>E9 + E12</f>
        <v>3080.62</v>
      </c>
      <c r="F15" s="21"/>
    </row>
    <row r="16" ht="15.75" customHeight="1">
      <c r="A16" s="22" t="s">
        <v>23</v>
      </c>
    </row>
    <row r="17" ht="15.75" customHeight="1">
      <c r="A17" s="22" t="s">
        <v>24</v>
      </c>
      <c r="B17" s="22">
        <v>1.0</v>
      </c>
      <c r="E17" s="18" t="s">
        <v>25</v>
      </c>
    </row>
    <row r="18" ht="15.75" customHeight="1">
      <c r="A18" s="18" t="s">
        <v>26</v>
      </c>
      <c r="B18" s="18">
        <v>1.0</v>
      </c>
      <c r="E18" s="20">
        <f>E15 + I12</f>
        <v>3530.62</v>
      </c>
    </row>
    <row r="19" ht="15.75" customHeight="1">
      <c r="A19" s="18" t="s">
        <v>27</v>
      </c>
      <c r="B19" s="18">
        <v>1.0</v>
      </c>
    </row>
    <row r="20" ht="15.75" customHeight="1">
      <c r="A20" s="18" t="s">
        <v>28</v>
      </c>
      <c r="B20" s="18"/>
      <c r="C20" s="18">
        <v>1.0</v>
      </c>
    </row>
    <row r="21" ht="15.75" customHeight="1">
      <c r="A21" s="18" t="s">
        <v>29</v>
      </c>
      <c r="C21" s="18">
        <v>1.0</v>
      </c>
    </row>
    <row r="22" ht="15.75" customHeight="1"/>
    <row r="23" ht="15.75" customHeight="1">
      <c r="G23" s="18"/>
      <c r="H23" s="1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22" t="s">
        <v>4</v>
      </c>
      <c r="B31" s="22">
        <f>SUM(B17:B30)</f>
        <v>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G1"/>
  </mergeCells>
  <conditionalFormatting sqref="B14">
    <cfRule type="cellIs" dxfId="0" priority="1" operator="greaterThan">
      <formula>0</formula>
    </cfRule>
  </conditionalFormatting>
  <conditionalFormatting sqref="E9">
    <cfRule type="cellIs" dxfId="0" priority="2" operator="greaterThan">
      <formula>0</formula>
    </cfRule>
  </conditionalFormatting>
  <conditionalFormatting sqref="E12">
    <cfRule type="cellIs" dxfId="0" priority="3" operator="greaterThan">
      <formula>0</formula>
    </cfRule>
  </conditionalFormatting>
  <conditionalFormatting sqref="G9">
    <cfRule type="cellIs" dxfId="1" priority="4" operator="greaterThan">
      <formula>0</formula>
    </cfRule>
  </conditionalFormatting>
  <conditionalFormatting sqref="G12:H12">
    <cfRule type="cellIs" dxfId="0" priority="5" operator="greaterThan">
      <formula>0</formula>
    </cfRule>
  </conditionalFormatting>
  <printOptions/>
  <pageMargins bottom="0.787401575" footer="0.0" header="0.0" left="0.511811024" right="0.511811024" top="0.787401575"/>
  <pageSetup orientation="landscape"/>
  <headerFooter>
    <oddHeader>&amp;R000000 #interna#_x000D_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25"/>
  </cols>
  <sheetData>
    <row r="1">
      <c r="A1" s="23" t="s">
        <v>30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35</v>
      </c>
      <c r="G1" s="23" t="s">
        <v>36</v>
      </c>
      <c r="H1" s="9" t="s">
        <v>22</v>
      </c>
    </row>
    <row r="2">
      <c r="A2" s="9" t="s">
        <v>37</v>
      </c>
      <c r="B2" s="9" t="s">
        <v>38</v>
      </c>
      <c r="C2" s="24"/>
      <c r="D2" s="25">
        <v>2.0</v>
      </c>
      <c r="E2" s="25" t="s">
        <v>39</v>
      </c>
      <c r="F2" s="9" t="s">
        <v>40</v>
      </c>
      <c r="G2" s="9" t="s">
        <v>41</v>
      </c>
      <c r="H2" s="24">
        <f>QUOTIENT(D2, 2) * 15 + MOD(D2, 2) * 8</f>
        <v>15</v>
      </c>
    </row>
    <row r="3">
      <c r="A3" s="9" t="s">
        <v>42</v>
      </c>
      <c r="B3" s="9" t="s">
        <v>43</v>
      </c>
      <c r="C3" s="24"/>
      <c r="D3" s="25">
        <v>2.0</v>
      </c>
      <c r="E3" s="26"/>
      <c r="F3" s="9" t="s">
        <v>44</v>
      </c>
      <c r="G3" s="24"/>
      <c r="H3" s="24"/>
    </row>
    <row r="4">
      <c r="A4" s="9" t="s">
        <v>45</v>
      </c>
      <c r="B4" s="9" t="s">
        <v>43</v>
      </c>
      <c r="C4" s="24"/>
      <c r="D4" s="25">
        <v>2.0</v>
      </c>
      <c r="E4" s="26"/>
      <c r="F4" s="9" t="s">
        <v>44</v>
      </c>
      <c r="G4" s="24"/>
      <c r="H4" s="24"/>
    </row>
    <row r="5">
      <c r="A5" s="9" t="s">
        <v>46</v>
      </c>
      <c r="B5" s="18" t="s">
        <v>47</v>
      </c>
      <c r="C5" s="24"/>
      <c r="D5" s="25">
        <v>2.0</v>
      </c>
      <c r="E5" s="26"/>
      <c r="F5" s="9" t="s">
        <v>44</v>
      </c>
      <c r="G5" s="24"/>
      <c r="H5" s="24"/>
    </row>
    <row r="6">
      <c r="A6" s="9" t="s">
        <v>48</v>
      </c>
      <c r="B6" s="9" t="s">
        <v>43</v>
      </c>
      <c r="C6" s="24"/>
      <c r="D6" s="25">
        <v>4.0</v>
      </c>
      <c r="E6" s="26"/>
      <c r="F6" s="9" t="s">
        <v>44</v>
      </c>
      <c r="G6" s="9" t="s">
        <v>49</v>
      </c>
      <c r="H6" s="24"/>
    </row>
    <row r="7">
      <c r="A7" s="24"/>
      <c r="B7" s="24"/>
      <c r="C7" s="24"/>
      <c r="D7" s="24"/>
      <c r="E7" s="24"/>
      <c r="F7" s="24"/>
      <c r="G7" s="24"/>
      <c r="H7" s="24"/>
    </row>
    <row r="8">
      <c r="A8" s="24"/>
      <c r="B8" s="24"/>
      <c r="C8" s="24"/>
      <c r="D8" s="24"/>
      <c r="E8" s="24"/>
      <c r="F8" s="24"/>
      <c r="G8" s="24"/>
      <c r="H8" s="24"/>
    </row>
    <row r="9">
      <c r="A9" s="24"/>
      <c r="B9" s="24"/>
      <c r="C9" s="24"/>
      <c r="D9" s="24"/>
      <c r="E9" s="24"/>
      <c r="F9" s="24"/>
      <c r="G9" s="24"/>
      <c r="H9" s="24"/>
    </row>
    <row r="10">
      <c r="A10" s="24"/>
      <c r="B10" s="24"/>
      <c r="C10" s="24"/>
      <c r="D10" s="24"/>
      <c r="E10" s="24"/>
      <c r="F10" s="24"/>
      <c r="G10" s="24"/>
      <c r="H10" s="24"/>
    </row>
    <row r="11">
      <c r="A11" s="24"/>
      <c r="B11" s="24"/>
      <c r="C11" s="24"/>
      <c r="D11" s="24"/>
      <c r="E11" s="24"/>
      <c r="F11" s="24"/>
      <c r="G11" s="24"/>
      <c r="H11" s="24"/>
    </row>
    <row r="12">
      <c r="A12" s="24"/>
      <c r="B12" s="24"/>
      <c r="C12" s="24"/>
      <c r="D12" s="24"/>
      <c r="E12" s="24"/>
      <c r="F12" s="24"/>
      <c r="G12" s="24"/>
      <c r="H12" s="24"/>
    </row>
    <row r="13">
      <c r="A13" s="24"/>
      <c r="B13" s="24"/>
      <c r="C13" s="24"/>
      <c r="D13" s="24"/>
      <c r="E13" s="24"/>
      <c r="F13" s="24"/>
      <c r="G13" s="24"/>
      <c r="H13" s="24"/>
    </row>
    <row r="14">
      <c r="A14" s="24"/>
      <c r="B14" s="24"/>
      <c r="C14" s="24"/>
      <c r="D14" s="24"/>
      <c r="E14" s="24"/>
      <c r="F14" s="24"/>
      <c r="G14" s="24"/>
      <c r="H14" s="24"/>
    </row>
    <row r="15">
      <c r="A15" s="24"/>
      <c r="B15" s="24"/>
      <c r="C15" s="24"/>
      <c r="D15" s="24"/>
      <c r="E15" s="24"/>
      <c r="F15" s="24"/>
      <c r="G15" s="24"/>
      <c r="H15" s="24"/>
    </row>
    <row r="16">
      <c r="A16" s="24"/>
      <c r="B16" s="24"/>
      <c r="C16" s="24"/>
      <c r="D16" s="24"/>
      <c r="E16" s="24"/>
      <c r="F16" s="24"/>
      <c r="G16" s="24"/>
      <c r="H16" s="24"/>
    </row>
    <row r="17">
      <c r="A17" s="24"/>
      <c r="B17" s="24"/>
      <c r="C17" s="24"/>
      <c r="D17" s="24"/>
      <c r="E17" s="24"/>
      <c r="F17" s="24"/>
      <c r="G17" s="24"/>
      <c r="H17" s="24"/>
    </row>
    <row r="18">
      <c r="A18" s="24"/>
      <c r="B18" s="24"/>
      <c r="C18" s="24"/>
      <c r="D18" s="24"/>
      <c r="E18" s="24"/>
      <c r="F18" s="24"/>
      <c r="G18" s="24"/>
      <c r="H18" s="24"/>
    </row>
    <row r="19">
      <c r="A19" s="24"/>
      <c r="B19" s="24"/>
      <c r="C19" s="24"/>
      <c r="D19" s="24"/>
      <c r="E19" s="24"/>
      <c r="F19" s="24"/>
      <c r="G19" s="24"/>
      <c r="H19" s="24"/>
    </row>
    <row r="20">
      <c r="A20" s="24"/>
      <c r="B20" s="24"/>
      <c r="C20" s="24"/>
      <c r="D20" s="24"/>
      <c r="E20" s="24"/>
      <c r="F20" s="24"/>
      <c r="G20" s="24"/>
      <c r="H20" s="24"/>
    </row>
    <row r="21">
      <c r="A21" s="24"/>
      <c r="B21" s="24"/>
      <c r="C21" s="24"/>
      <c r="D21" s="24"/>
      <c r="E21" s="24"/>
      <c r="F21" s="24"/>
      <c r="G21" s="24"/>
      <c r="H21" s="24"/>
    </row>
    <row r="22">
      <c r="A22" s="24"/>
      <c r="B22" s="24"/>
      <c r="C22" s="24"/>
      <c r="D22" s="24"/>
      <c r="E22" s="24"/>
      <c r="F22" s="24"/>
      <c r="G22" s="24"/>
      <c r="H22" s="24"/>
    </row>
    <row r="23">
      <c r="A23" s="24"/>
      <c r="B23" s="24"/>
      <c r="C23" s="24"/>
      <c r="D23" s="24"/>
      <c r="E23" s="24"/>
      <c r="F23" s="24"/>
      <c r="G23" s="24"/>
      <c r="H23" s="24"/>
    </row>
    <row r="24">
      <c r="A24" s="24"/>
      <c r="B24" s="24"/>
      <c r="C24" s="24"/>
      <c r="D24" s="24"/>
      <c r="E24" s="24"/>
      <c r="F24" s="24"/>
      <c r="G24" s="24"/>
      <c r="H24" s="24"/>
    </row>
    <row r="25">
      <c r="A25" s="24"/>
      <c r="B25" s="24"/>
      <c r="C25" s="24"/>
      <c r="D25" s="24"/>
      <c r="E25" s="24"/>
      <c r="F25" s="24"/>
      <c r="G25" s="24"/>
      <c r="H25" s="24"/>
    </row>
    <row r="26">
      <c r="A26" s="24"/>
      <c r="B26" s="24"/>
      <c r="C26" s="24"/>
      <c r="D26" s="24"/>
      <c r="E26" s="24"/>
      <c r="F26" s="24"/>
      <c r="G26" s="24"/>
      <c r="H26" s="24"/>
    </row>
    <row r="27">
      <c r="A27" s="24"/>
      <c r="B27" s="24"/>
      <c r="C27" s="24"/>
      <c r="D27" s="24"/>
      <c r="E27" s="24"/>
      <c r="F27" s="24"/>
      <c r="G27" s="24"/>
      <c r="H27" s="24"/>
    </row>
    <row r="28">
      <c r="A28" s="24"/>
      <c r="B28" s="24"/>
      <c r="C28" s="24"/>
      <c r="D28" s="24"/>
      <c r="E28" s="24"/>
      <c r="F28" s="24"/>
      <c r="G28" s="24"/>
      <c r="H28" s="24"/>
    </row>
    <row r="29">
      <c r="A29" s="24"/>
      <c r="B29" s="24"/>
      <c r="C29" s="24"/>
      <c r="D29" s="24"/>
      <c r="E29" s="24"/>
      <c r="F29" s="24"/>
      <c r="G29" s="24"/>
      <c r="H29" s="24"/>
    </row>
    <row r="30">
      <c r="A30" s="24"/>
      <c r="B30" s="24"/>
      <c r="C30" s="24"/>
      <c r="D30" s="24"/>
      <c r="E30" s="24"/>
      <c r="F30" s="24"/>
      <c r="G30" s="24"/>
      <c r="H30" s="24"/>
    </row>
    <row r="31">
      <c r="A31" s="24"/>
      <c r="B31" s="24"/>
      <c r="C31" s="24"/>
      <c r="D31" s="24"/>
      <c r="E31" s="24"/>
      <c r="F31" s="24"/>
      <c r="G31" s="24"/>
      <c r="H31" s="24"/>
    </row>
    <row r="32">
      <c r="A32" s="24"/>
      <c r="B32" s="24"/>
      <c r="C32" s="24"/>
      <c r="D32" s="24"/>
      <c r="E32" s="24"/>
      <c r="F32" s="24"/>
      <c r="G32" s="24"/>
      <c r="H32" s="24"/>
    </row>
    <row r="33">
      <c r="A33" s="24"/>
      <c r="B33" s="24"/>
      <c r="C33" s="24"/>
      <c r="D33" s="24"/>
      <c r="E33" s="24"/>
      <c r="F33" s="24"/>
      <c r="G33" s="24"/>
      <c r="H33" s="24"/>
    </row>
    <row r="34">
      <c r="A34" s="24"/>
      <c r="B34" s="24"/>
      <c r="C34" s="24"/>
      <c r="D34" s="24"/>
      <c r="E34" s="24"/>
      <c r="F34" s="24"/>
      <c r="G34" s="24"/>
      <c r="H34" s="24"/>
    </row>
    <row r="35">
      <c r="A35" s="24"/>
      <c r="B35" s="24"/>
      <c r="C35" s="24"/>
      <c r="D35" s="24"/>
      <c r="E35" s="24"/>
      <c r="F35" s="24"/>
      <c r="G35" s="24"/>
      <c r="H35" s="24"/>
    </row>
    <row r="36">
      <c r="A36" s="24"/>
      <c r="B36" s="24"/>
      <c r="C36" s="24"/>
      <c r="D36" s="24"/>
      <c r="E36" s="24"/>
      <c r="F36" s="24"/>
      <c r="G36" s="24"/>
      <c r="H36" s="24"/>
    </row>
    <row r="37">
      <c r="A37" s="24"/>
      <c r="B37" s="24"/>
      <c r="C37" s="24"/>
      <c r="D37" s="24"/>
      <c r="E37" s="24"/>
      <c r="F37" s="24"/>
      <c r="G37" s="24"/>
      <c r="H37" s="24"/>
    </row>
    <row r="38">
      <c r="A38" s="24"/>
      <c r="B38" s="24"/>
      <c r="C38" s="24"/>
      <c r="D38" s="24"/>
      <c r="E38" s="24"/>
      <c r="F38" s="24"/>
      <c r="G38" s="24"/>
      <c r="H38" s="24"/>
    </row>
    <row r="39">
      <c r="A39" s="24"/>
      <c r="B39" s="24"/>
      <c r="C39" s="24"/>
      <c r="D39" s="24"/>
      <c r="E39" s="24"/>
      <c r="F39" s="24"/>
      <c r="G39" s="24"/>
      <c r="H39" s="24"/>
    </row>
    <row r="40">
      <c r="A40" s="24"/>
      <c r="B40" s="24"/>
      <c r="C40" s="24"/>
      <c r="D40" s="24"/>
      <c r="E40" s="24"/>
      <c r="F40" s="24"/>
      <c r="G40" s="24"/>
      <c r="H40" s="24"/>
    </row>
    <row r="41">
      <c r="A41" s="24"/>
      <c r="B41" s="24"/>
      <c r="C41" s="24"/>
      <c r="D41" s="24"/>
      <c r="E41" s="24"/>
      <c r="F41" s="24"/>
      <c r="G41" s="24"/>
      <c r="H41" s="24"/>
    </row>
    <row r="42">
      <c r="A42" s="24"/>
      <c r="B42" s="24"/>
      <c r="C42" s="24"/>
      <c r="D42" s="24"/>
      <c r="E42" s="24"/>
      <c r="F42" s="24"/>
      <c r="G42" s="24"/>
      <c r="H42" s="24"/>
    </row>
    <row r="43">
      <c r="A43" s="24"/>
      <c r="B43" s="24"/>
      <c r="C43" s="24"/>
      <c r="D43" s="24"/>
      <c r="E43" s="24"/>
      <c r="F43" s="24"/>
      <c r="G43" s="24"/>
      <c r="H43" s="24"/>
    </row>
    <row r="44">
      <c r="A44" s="24"/>
      <c r="B44" s="24"/>
      <c r="C44" s="24"/>
      <c r="D44" s="24"/>
      <c r="E44" s="24"/>
      <c r="F44" s="24"/>
      <c r="G44" s="24"/>
      <c r="H44" s="24"/>
    </row>
    <row r="45">
      <c r="A45" s="24"/>
      <c r="B45" s="24"/>
      <c r="C45" s="24"/>
      <c r="D45" s="24"/>
      <c r="E45" s="24"/>
      <c r="F45" s="24"/>
      <c r="G45" s="24"/>
      <c r="H45" s="24"/>
    </row>
    <row r="46">
      <c r="A46" s="24"/>
      <c r="B46" s="24"/>
      <c r="C46" s="24"/>
      <c r="D46" s="24"/>
      <c r="E46" s="24"/>
      <c r="F46" s="24"/>
      <c r="G46" s="24"/>
      <c r="H46" s="24"/>
    </row>
    <row r="47">
      <c r="A47" s="24"/>
      <c r="B47" s="24"/>
      <c r="C47" s="24"/>
      <c r="D47" s="24"/>
      <c r="E47" s="24"/>
      <c r="F47" s="24"/>
      <c r="G47" s="24"/>
      <c r="H47" s="24"/>
    </row>
    <row r="48">
      <c r="A48" s="24"/>
      <c r="B48" s="24"/>
      <c r="C48" s="24"/>
      <c r="D48" s="24"/>
      <c r="E48" s="24"/>
      <c r="F48" s="24"/>
      <c r="G48" s="24"/>
      <c r="H48" s="24"/>
    </row>
    <row r="49">
      <c r="A49" s="24"/>
      <c r="B49" s="24"/>
      <c r="C49" s="24"/>
      <c r="D49" s="24"/>
      <c r="E49" s="24"/>
      <c r="F49" s="24"/>
      <c r="G49" s="24"/>
      <c r="H49" s="24"/>
    </row>
    <row r="50">
      <c r="A50" s="24"/>
      <c r="B50" s="24"/>
      <c r="C50" s="24"/>
      <c r="D50" s="24"/>
      <c r="E50" s="24"/>
      <c r="F50" s="24"/>
      <c r="G50" s="24"/>
      <c r="H50" s="24"/>
    </row>
    <row r="51">
      <c r="A51" s="24"/>
      <c r="B51" s="24"/>
      <c r="C51" s="24"/>
      <c r="D51" s="24"/>
      <c r="E51" s="24"/>
      <c r="F51" s="24"/>
      <c r="G51" s="24"/>
      <c r="H51" s="24"/>
    </row>
    <row r="52">
      <c r="A52" s="24"/>
      <c r="B52" s="24"/>
      <c r="C52" s="24"/>
      <c r="D52" s="24"/>
      <c r="E52" s="24"/>
      <c r="F52" s="24"/>
      <c r="G52" s="24"/>
      <c r="H52" s="24"/>
    </row>
    <row r="53">
      <c r="A53" s="24"/>
      <c r="B53" s="24"/>
      <c r="C53" s="24"/>
      <c r="D53" s="24"/>
      <c r="E53" s="24"/>
      <c r="F53" s="24"/>
      <c r="G53" s="24"/>
      <c r="H53" s="24"/>
    </row>
    <row r="54">
      <c r="A54" s="24"/>
      <c r="B54" s="24"/>
      <c r="C54" s="24"/>
      <c r="D54" s="24"/>
      <c r="E54" s="24"/>
      <c r="F54" s="24"/>
      <c r="G54" s="24"/>
      <c r="H54" s="24"/>
    </row>
    <row r="55">
      <c r="A55" s="24"/>
      <c r="B55" s="24"/>
      <c r="C55" s="24"/>
      <c r="D55" s="24"/>
      <c r="E55" s="24"/>
      <c r="F55" s="24"/>
      <c r="G55" s="24"/>
      <c r="H55" s="24"/>
    </row>
    <row r="56">
      <c r="A56" s="24"/>
      <c r="B56" s="24"/>
      <c r="C56" s="24"/>
      <c r="D56" s="24"/>
      <c r="E56" s="24"/>
      <c r="F56" s="24"/>
      <c r="G56" s="24"/>
      <c r="H56" s="24"/>
    </row>
    <row r="57">
      <c r="A57" s="24"/>
      <c r="B57" s="24"/>
      <c r="C57" s="24"/>
      <c r="D57" s="24"/>
      <c r="E57" s="24"/>
      <c r="F57" s="24"/>
      <c r="G57" s="24"/>
      <c r="H57" s="24"/>
    </row>
    <row r="58">
      <c r="A58" s="24"/>
      <c r="B58" s="24"/>
      <c r="C58" s="24"/>
      <c r="D58" s="24"/>
      <c r="E58" s="24"/>
      <c r="F58" s="24"/>
      <c r="G58" s="24"/>
      <c r="H58" s="24"/>
    </row>
    <row r="59">
      <c r="A59" s="24"/>
      <c r="B59" s="24"/>
      <c r="C59" s="24"/>
      <c r="D59" s="24"/>
      <c r="E59" s="24"/>
      <c r="F59" s="24"/>
      <c r="G59" s="24"/>
      <c r="H59" s="24"/>
    </row>
    <row r="60">
      <c r="A60" s="24"/>
      <c r="B60" s="24"/>
      <c r="C60" s="24"/>
      <c r="D60" s="24"/>
      <c r="E60" s="24"/>
      <c r="F60" s="24"/>
      <c r="G60" s="24"/>
      <c r="H60" s="24"/>
    </row>
    <row r="61">
      <c r="A61" s="24"/>
      <c r="B61" s="24"/>
      <c r="C61" s="24"/>
      <c r="D61" s="24"/>
      <c r="E61" s="24"/>
      <c r="F61" s="24"/>
      <c r="G61" s="24"/>
      <c r="H61" s="24"/>
    </row>
    <row r="62">
      <c r="A62" s="24"/>
      <c r="B62" s="24"/>
      <c r="C62" s="24"/>
      <c r="D62" s="24"/>
      <c r="E62" s="24"/>
      <c r="F62" s="24"/>
      <c r="G62" s="24"/>
      <c r="H62" s="24"/>
    </row>
    <row r="63">
      <c r="A63" s="24"/>
      <c r="B63" s="24"/>
      <c r="C63" s="24"/>
      <c r="D63" s="24"/>
      <c r="E63" s="24"/>
      <c r="F63" s="24"/>
      <c r="G63" s="24"/>
      <c r="H63" s="24"/>
    </row>
    <row r="64">
      <c r="A64" s="24"/>
      <c r="B64" s="24"/>
      <c r="C64" s="24"/>
      <c r="D64" s="24"/>
      <c r="E64" s="24"/>
      <c r="F64" s="24"/>
      <c r="G64" s="24"/>
      <c r="H64" s="24"/>
    </row>
    <row r="65">
      <c r="A65" s="24"/>
      <c r="B65" s="24"/>
      <c r="C65" s="24"/>
      <c r="D65" s="24"/>
      <c r="E65" s="24"/>
      <c r="F65" s="24"/>
      <c r="G65" s="24"/>
      <c r="H65" s="24"/>
    </row>
    <row r="66">
      <c r="A66" s="24"/>
      <c r="B66" s="24"/>
      <c r="C66" s="24"/>
      <c r="D66" s="24"/>
      <c r="E66" s="24"/>
      <c r="F66" s="24"/>
      <c r="G66" s="24"/>
      <c r="H66" s="24"/>
    </row>
    <row r="67">
      <c r="A67" s="24"/>
      <c r="B67" s="24"/>
      <c r="C67" s="24"/>
      <c r="D67" s="24"/>
      <c r="E67" s="24"/>
      <c r="F67" s="24"/>
      <c r="G67" s="24"/>
      <c r="H67" s="24"/>
    </row>
    <row r="68">
      <c r="A68" s="24"/>
      <c r="B68" s="24"/>
      <c r="C68" s="24"/>
      <c r="D68" s="24"/>
      <c r="E68" s="24"/>
      <c r="F68" s="24"/>
      <c r="G68" s="24"/>
      <c r="H68" s="24"/>
    </row>
    <row r="69">
      <c r="A69" s="24"/>
      <c r="B69" s="24"/>
      <c r="C69" s="24"/>
      <c r="D69" s="24"/>
      <c r="E69" s="24"/>
      <c r="F69" s="24"/>
      <c r="G69" s="24"/>
      <c r="H69" s="24"/>
    </row>
    <row r="70">
      <c r="A70" s="24"/>
      <c r="B70" s="24"/>
      <c r="C70" s="24"/>
      <c r="D70" s="24"/>
      <c r="E70" s="24"/>
      <c r="F70" s="24"/>
      <c r="G70" s="24"/>
      <c r="H70" s="24"/>
    </row>
    <row r="71">
      <c r="A71" s="24"/>
      <c r="B71" s="24"/>
      <c r="C71" s="24"/>
      <c r="D71" s="24"/>
      <c r="E71" s="24"/>
      <c r="F71" s="24"/>
      <c r="G71" s="24"/>
      <c r="H71" s="24"/>
    </row>
    <row r="72">
      <c r="A72" s="24"/>
      <c r="B72" s="24"/>
      <c r="C72" s="24"/>
      <c r="D72" s="24"/>
      <c r="E72" s="24"/>
      <c r="F72" s="24"/>
      <c r="G72" s="24"/>
      <c r="H72" s="24"/>
    </row>
    <row r="73">
      <c r="A73" s="24"/>
      <c r="B73" s="24"/>
      <c r="C73" s="24"/>
      <c r="D73" s="24"/>
      <c r="E73" s="24"/>
      <c r="F73" s="24"/>
      <c r="G73" s="24"/>
      <c r="H73" s="24"/>
    </row>
    <row r="74">
      <c r="A74" s="24"/>
      <c r="B74" s="24"/>
      <c r="C74" s="24"/>
      <c r="D74" s="24"/>
      <c r="E74" s="24"/>
      <c r="F74" s="24"/>
      <c r="G74" s="24"/>
      <c r="H74" s="24"/>
    </row>
    <row r="75">
      <c r="A75" s="24"/>
      <c r="B75" s="24"/>
      <c r="C75" s="24"/>
      <c r="D75" s="24"/>
      <c r="E75" s="24"/>
      <c r="F75" s="24"/>
      <c r="G75" s="24"/>
      <c r="H75" s="24"/>
    </row>
    <row r="76">
      <c r="A76" s="24"/>
      <c r="B76" s="24"/>
      <c r="C76" s="24"/>
      <c r="D76" s="24"/>
      <c r="E76" s="24"/>
      <c r="F76" s="24"/>
      <c r="G76" s="24"/>
      <c r="H76" s="24"/>
    </row>
    <row r="77">
      <c r="A77" s="24"/>
      <c r="B77" s="24"/>
      <c r="C77" s="24"/>
      <c r="D77" s="24"/>
      <c r="E77" s="24"/>
      <c r="F77" s="24"/>
      <c r="G77" s="24"/>
      <c r="H77" s="24"/>
    </row>
    <row r="78">
      <c r="A78" s="24"/>
      <c r="B78" s="24"/>
      <c r="C78" s="24"/>
      <c r="D78" s="24"/>
      <c r="E78" s="24"/>
      <c r="F78" s="24"/>
      <c r="G78" s="24"/>
      <c r="H78" s="24"/>
    </row>
    <row r="79">
      <c r="A79" s="24"/>
      <c r="B79" s="24"/>
      <c r="C79" s="24"/>
      <c r="D79" s="24"/>
      <c r="E79" s="24"/>
      <c r="F79" s="24"/>
      <c r="G79" s="24"/>
      <c r="H79" s="24"/>
    </row>
    <row r="80">
      <c r="A80" s="24"/>
      <c r="B80" s="24"/>
      <c r="C80" s="24"/>
      <c r="D80" s="24"/>
      <c r="E80" s="24"/>
      <c r="F80" s="24"/>
      <c r="G80" s="24"/>
      <c r="H80" s="24"/>
    </row>
    <row r="81">
      <c r="A81" s="24"/>
      <c r="B81" s="24"/>
      <c r="C81" s="24"/>
      <c r="D81" s="24"/>
      <c r="E81" s="24"/>
      <c r="F81" s="24"/>
      <c r="G81" s="24"/>
      <c r="H81" s="24"/>
    </row>
    <row r="82">
      <c r="A82" s="24"/>
      <c r="B82" s="24"/>
      <c r="C82" s="24"/>
      <c r="D82" s="24"/>
      <c r="E82" s="24"/>
      <c r="F82" s="24"/>
      <c r="G82" s="24"/>
      <c r="H82" s="24"/>
    </row>
    <row r="83">
      <c r="A83" s="24"/>
      <c r="B83" s="24"/>
      <c r="C83" s="24"/>
      <c r="D83" s="24"/>
      <c r="E83" s="24"/>
      <c r="F83" s="24"/>
      <c r="G83" s="24"/>
      <c r="H83" s="24"/>
    </row>
    <row r="84">
      <c r="A84" s="24"/>
      <c r="B84" s="24"/>
      <c r="C84" s="24"/>
      <c r="D84" s="24"/>
      <c r="E84" s="24"/>
      <c r="F84" s="24"/>
      <c r="G84" s="24"/>
      <c r="H84" s="24"/>
    </row>
    <row r="85">
      <c r="A85" s="24"/>
      <c r="B85" s="24"/>
      <c r="C85" s="24"/>
      <c r="D85" s="24"/>
      <c r="E85" s="24"/>
      <c r="F85" s="24"/>
      <c r="G85" s="24"/>
      <c r="H85" s="24"/>
    </row>
    <row r="86">
      <c r="A86" s="24"/>
      <c r="B86" s="24"/>
      <c r="C86" s="24"/>
      <c r="D86" s="24"/>
      <c r="E86" s="24"/>
      <c r="F86" s="24"/>
      <c r="G86" s="24"/>
      <c r="H86" s="24"/>
    </row>
    <row r="87">
      <c r="A87" s="24"/>
      <c r="B87" s="24"/>
      <c r="C87" s="24"/>
      <c r="D87" s="24"/>
      <c r="E87" s="24"/>
      <c r="F87" s="24"/>
      <c r="G87" s="24"/>
      <c r="H87" s="24"/>
    </row>
    <row r="88">
      <c r="A88" s="24"/>
      <c r="B88" s="24"/>
      <c r="C88" s="24"/>
      <c r="D88" s="24"/>
      <c r="E88" s="24"/>
      <c r="F88" s="24"/>
      <c r="G88" s="24"/>
      <c r="H88" s="24"/>
    </row>
    <row r="89">
      <c r="A89" s="24"/>
      <c r="B89" s="24"/>
      <c r="C89" s="24"/>
      <c r="D89" s="24"/>
      <c r="E89" s="24"/>
      <c r="F89" s="24"/>
      <c r="G89" s="24"/>
      <c r="H89" s="24"/>
    </row>
    <row r="90">
      <c r="A90" s="24"/>
      <c r="B90" s="24"/>
      <c r="C90" s="24"/>
      <c r="D90" s="24"/>
      <c r="E90" s="24"/>
      <c r="F90" s="24"/>
      <c r="G90" s="24"/>
      <c r="H90" s="24"/>
    </row>
    <row r="91">
      <c r="A91" s="24"/>
      <c r="B91" s="24"/>
      <c r="C91" s="24"/>
      <c r="D91" s="24"/>
      <c r="E91" s="24"/>
      <c r="F91" s="24"/>
      <c r="G91" s="24"/>
      <c r="H91" s="24"/>
    </row>
    <row r="92">
      <c r="A92" s="24"/>
      <c r="B92" s="24"/>
      <c r="C92" s="24"/>
      <c r="D92" s="24"/>
      <c r="E92" s="24"/>
      <c r="F92" s="24"/>
      <c r="G92" s="24"/>
      <c r="H92" s="24"/>
    </row>
    <row r="93">
      <c r="A93" s="24"/>
      <c r="B93" s="24"/>
      <c r="C93" s="24"/>
      <c r="D93" s="24"/>
      <c r="E93" s="24"/>
      <c r="F93" s="24"/>
      <c r="G93" s="24"/>
      <c r="H93" s="24"/>
    </row>
    <row r="94">
      <c r="A94" s="24"/>
      <c r="B94" s="24"/>
      <c r="C94" s="24"/>
      <c r="D94" s="24"/>
      <c r="E94" s="24"/>
      <c r="F94" s="24"/>
      <c r="G94" s="24"/>
      <c r="H94" s="24"/>
    </row>
    <row r="95">
      <c r="A95" s="24"/>
      <c r="B95" s="24"/>
      <c r="C95" s="24"/>
      <c r="D95" s="24"/>
      <c r="E95" s="24"/>
      <c r="F95" s="24"/>
      <c r="G95" s="24"/>
      <c r="H95" s="24"/>
    </row>
    <row r="96">
      <c r="A96" s="24"/>
      <c r="B96" s="24"/>
      <c r="C96" s="24"/>
      <c r="D96" s="24"/>
      <c r="E96" s="24"/>
      <c r="F96" s="24"/>
      <c r="G96" s="24"/>
      <c r="H96" s="24"/>
    </row>
    <row r="97">
      <c r="A97" s="24"/>
      <c r="B97" s="24"/>
      <c r="C97" s="24"/>
      <c r="D97" s="24"/>
      <c r="E97" s="24"/>
      <c r="F97" s="24"/>
      <c r="G97" s="24"/>
      <c r="H97" s="24"/>
    </row>
    <row r="98">
      <c r="A98" s="24"/>
      <c r="B98" s="24"/>
      <c r="C98" s="24"/>
      <c r="D98" s="24"/>
      <c r="E98" s="24"/>
      <c r="F98" s="24"/>
      <c r="G98" s="24"/>
      <c r="H98" s="24"/>
    </row>
    <row r="99">
      <c r="A99" s="24"/>
      <c r="B99" s="24"/>
      <c r="C99" s="24"/>
      <c r="D99" s="24"/>
      <c r="E99" s="24"/>
      <c r="F99" s="24"/>
      <c r="G99" s="24"/>
      <c r="H99" s="24"/>
    </row>
    <row r="100">
      <c r="A100" s="24"/>
      <c r="B100" s="24"/>
      <c r="C100" s="24"/>
      <c r="D100" s="24"/>
      <c r="E100" s="24"/>
      <c r="F100" s="24"/>
      <c r="G100" s="24"/>
      <c r="H100" s="24"/>
    </row>
    <row r="101">
      <c r="A101" s="24"/>
      <c r="B101" s="24"/>
      <c r="C101" s="24"/>
      <c r="D101" s="24"/>
      <c r="E101" s="24"/>
      <c r="F101" s="24"/>
      <c r="G101" s="24"/>
      <c r="H101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6" max="6" width="16.38"/>
  </cols>
  <sheetData>
    <row r="1">
      <c r="B1" s="27" t="s">
        <v>50</v>
      </c>
      <c r="C1" s="27" t="s">
        <v>9</v>
      </c>
      <c r="D1" s="27" t="s">
        <v>10</v>
      </c>
      <c r="E1" s="27" t="s">
        <v>14</v>
      </c>
      <c r="F1" s="27" t="s">
        <v>15</v>
      </c>
    </row>
    <row r="2">
      <c r="B2" s="9" t="s">
        <v>51</v>
      </c>
      <c r="C2" s="9" t="s">
        <v>52</v>
      </c>
      <c r="D2" s="9" t="s">
        <v>53</v>
      </c>
      <c r="E2" s="9" t="s">
        <v>54</v>
      </c>
      <c r="F2" s="9" t="s">
        <v>44</v>
      </c>
    </row>
    <row r="3">
      <c r="B3" s="9" t="s">
        <v>55</v>
      </c>
      <c r="C3" s="9" t="s">
        <v>56</v>
      </c>
      <c r="D3" s="9" t="s">
        <v>57</v>
      </c>
      <c r="E3" s="9" t="s">
        <v>58</v>
      </c>
      <c r="F3" s="9" t="s">
        <v>59</v>
      </c>
    </row>
    <row r="4"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</row>
    <row r="5">
      <c r="B5" s="9" t="s">
        <v>65</v>
      </c>
      <c r="C5" s="9" t="s">
        <v>66</v>
      </c>
      <c r="D5" s="9" t="s">
        <v>67</v>
      </c>
      <c r="E5" s="9" t="s">
        <v>68</v>
      </c>
      <c r="F5" s="9" t="s">
        <v>69</v>
      </c>
    </row>
    <row r="6">
      <c r="B6" s="9" t="s">
        <v>70</v>
      </c>
      <c r="C6" s="9" t="s">
        <v>71</v>
      </c>
      <c r="D6" s="24"/>
      <c r="E6" s="9" t="s">
        <v>72</v>
      </c>
      <c r="F6" s="9" t="s">
        <v>73</v>
      </c>
    </row>
    <row r="7">
      <c r="B7" s="9" t="s">
        <v>74</v>
      </c>
      <c r="C7" s="24"/>
      <c r="D7" s="24"/>
      <c r="E7" s="24"/>
      <c r="F7" s="9" t="s">
        <v>75</v>
      </c>
    </row>
    <row r="8">
      <c r="B8" s="9" t="s">
        <v>76</v>
      </c>
      <c r="C8" s="24"/>
      <c r="D8" s="24"/>
      <c r="E8" s="24"/>
      <c r="F8" s="9" t="s">
        <v>27</v>
      </c>
    </row>
    <row r="9">
      <c r="B9" s="9" t="s">
        <v>77</v>
      </c>
      <c r="C9" s="24"/>
      <c r="D9" s="24"/>
      <c r="E9" s="24"/>
      <c r="F9" s="9" t="s">
        <v>78</v>
      </c>
    </row>
    <row r="10">
      <c r="B10" s="24"/>
      <c r="C10" s="24"/>
      <c r="D10" s="24"/>
      <c r="E10" s="24"/>
      <c r="F10" s="9" t="s">
        <v>79</v>
      </c>
    </row>
    <row r="11">
      <c r="B11" s="24"/>
      <c r="C11" s="24"/>
      <c r="D11" s="24"/>
      <c r="E11" s="24"/>
      <c r="F11" s="9" t="s">
        <v>80</v>
      </c>
    </row>
    <row r="12">
      <c r="B12" s="24"/>
      <c r="C12" s="24"/>
      <c r="D12" s="24"/>
      <c r="E12" s="24"/>
      <c r="F12" s="9" t="s">
        <v>81</v>
      </c>
    </row>
    <row r="13">
      <c r="B13" s="24"/>
      <c r="C13" s="24"/>
      <c r="D13" s="24"/>
      <c r="E13" s="24"/>
      <c r="F13" s="9" t="s">
        <v>82</v>
      </c>
    </row>
    <row r="14">
      <c r="B14" s="24"/>
      <c r="C14" s="24"/>
      <c r="D14" s="24"/>
      <c r="E14" s="24"/>
      <c r="F14" s="9" t="s">
        <v>83</v>
      </c>
    </row>
    <row r="15">
      <c r="B15" s="24"/>
      <c r="C15" s="24"/>
      <c r="D15" s="24"/>
      <c r="E15" s="24"/>
      <c r="F15" s="24"/>
    </row>
    <row r="16">
      <c r="B16" s="24"/>
      <c r="C16" s="24"/>
      <c r="D16" s="24"/>
      <c r="E16" s="24"/>
      <c r="F16" s="24"/>
    </row>
    <row r="17">
      <c r="B17" s="24"/>
      <c r="C17" s="24"/>
      <c r="D17" s="24"/>
      <c r="E17" s="24"/>
      <c r="F17" s="24"/>
    </row>
    <row r="18">
      <c r="B18" s="24"/>
      <c r="C18" s="24"/>
      <c r="D18" s="24"/>
      <c r="E18" s="24"/>
      <c r="F18" s="24"/>
    </row>
    <row r="19">
      <c r="B19" s="24"/>
      <c r="C19" s="24"/>
      <c r="D19" s="24"/>
      <c r="E19" s="24"/>
      <c r="F19" s="24"/>
    </row>
    <row r="20">
      <c r="B20" s="24"/>
      <c r="C20" s="24"/>
      <c r="D20" s="24"/>
      <c r="E20" s="24"/>
      <c r="F20" s="24"/>
    </row>
    <row r="21">
      <c r="B21" s="24"/>
      <c r="C21" s="24"/>
      <c r="D21" s="24"/>
      <c r="E21" s="24"/>
      <c r="F21" s="24"/>
    </row>
    <row r="22">
      <c r="A22" s="18" t="s">
        <v>84</v>
      </c>
      <c r="B22" s="22">
        <f t="shared" ref="B22:F22" si="1">COUNTA(B2:B21)</f>
        <v>8</v>
      </c>
      <c r="C22" s="22">
        <f t="shared" si="1"/>
        <v>5</v>
      </c>
      <c r="D22" s="22">
        <f t="shared" si="1"/>
        <v>4</v>
      </c>
      <c r="E22" s="22">
        <f t="shared" si="1"/>
        <v>5</v>
      </c>
      <c r="F22" s="22">
        <f t="shared" si="1"/>
        <v>13</v>
      </c>
    </row>
    <row r="24">
      <c r="A24" s="18" t="s">
        <v>85</v>
      </c>
      <c r="B24" s="22">
        <f>SUM(B22:E22)</f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32.25"/>
    <col customWidth="1" min="3" max="3" width="22.13"/>
    <col customWidth="1" min="4" max="4" width="11.88"/>
    <col customWidth="1" min="5" max="5" width="15.25"/>
    <col customWidth="1" min="6" max="6" width="12.13"/>
    <col customWidth="1" min="7" max="8" width="8.63"/>
    <col customWidth="1" min="9" max="9" width="15.63"/>
    <col customWidth="1" min="10" max="10" width="10.63"/>
    <col customWidth="1" min="11" max="26" width="8.63"/>
  </cols>
  <sheetData>
    <row r="1" ht="12.75" customHeight="1">
      <c r="A1" s="28" t="s">
        <v>86</v>
      </c>
      <c r="B1" s="29"/>
      <c r="C1" s="29"/>
      <c r="D1" s="29"/>
      <c r="E1" s="29"/>
      <c r="F1" s="29"/>
      <c r="G1" s="29"/>
    </row>
    <row r="2" ht="28.5" customHeight="1">
      <c r="A2" s="30" t="s">
        <v>30</v>
      </c>
      <c r="B2" s="30" t="s">
        <v>87</v>
      </c>
      <c r="C2" s="30" t="s">
        <v>88</v>
      </c>
      <c r="D2" s="30" t="s">
        <v>33</v>
      </c>
      <c r="E2" s="31" t="s">
        <v>89</v>
      </c>
      <c r="F2" s="30" t="s">
        <v>35</v>
      </c>
      <c r="G2" s="32" t="s">
        <v>90</v>
      </c>
      <c r="H2" s="19"/>
      <c r="I2" s="5" t="s">
        <v>91</v>
      </c>
      <c r="J2" s="5">
        <v>20.0</v>
      </c>
    </row>
    <row r="3" ht="12.75" customHeight="1">
      <c r="A3" s="33" t="s">
        <v>92</v>
      </c>
      <c r="B3" s="33" t="s">
        <v>93</v>
      </c>
      <c r="C3" s="34" t="s">
        <v>94</v>
      </c>
      <c r="D3" s="34">
        <v>1.0</v>
      </c>
      <c r="E3" s="34" t="s">
        <v>95</v>
      </c>
      <c r="F3" s="34" t="s">
        <v>96</v>
      </c>
      <c r="G3" s="5" t="s">
        <v>41</v>
      </c>
      <c r="H3" s="22" t="s">
        <v>97</v>
      </c>
      <c r="W3" s="22">
        <f t="shared" ref="W3:W62" si="1">IF(G3="PAGO",D3,0)</f>
        <v>1</v>
      </c>
    </row>
    <row r="4" ht="12.75" customHeight="1">
      <c r="A4" s="33" t="s">
        <v>98</v>
      </c>
      <c r="B4" s="33" t="s">
        <v>99</v>
      </c>
      <c r="C4" s="34" t="s">
        <v>100</v>
      </c>
      <c r="D4" s="34">
        <v>2.0</v>
      </c>
      <c r="E4" s="34"/>
      <c r="F4" s="34" t="s">
        <v>96</v>
      </c>
      <c r="G4" s="5" t="s">
        <v>41</v>
      </c>
      <c r="H4" s="22" t="s">
        <v>97</v>
      </c>
      <c r="I4" s="5" t="s">
        <v>101</v>
      </c>
      <c r="J4" s="5">
        <f>SUM(D3:D62)</f>
        <v>64</v>
      </c>
      <c r="W4" s="22">
        <f t="shared" si="1"/>
        <v>2</v>
      </c>
    </row>
    <row r="5" ht="12.75" customHeight="1">
      <c r="A5" s="33" t="s">
        <v>102</v>
      </c>
      <c r="B5" s="33" t="s">
        <v>103</v>
      </c>
      <c r="C5" s="34" t="s">
        <v>104</v>
      </c>
      <c r="D5" s="34">
        <v>1.0</v>
      </c>
      <c r="E5" s="34"/>
      <c r="F5" s="34" t="s">
        <v>96</v>
      </c>
      <c r="G5" s="5" t="s">
        <v>41</v>
      </c>
      <c r="H5" s="22" t="s">
        <v>97</v>
      </c>
      <c r="I5" s="5" t="s">
        <v>22</v>
      </c>
      <c r="J5" s="7">
        <f> J2 * J4</f>
        <v>1280</v>
      </c>
      <c r="W5" s="22">
        <f t="shared" si="1"/>
        <v>1</v>
      </c>
    </row>
    <row r="6" ht="12.75" customHeight="1">
      <c r="A6" s="33" t="s">
        <v>105</v>
      </c>
      <c r="B6" s="33" t="s">
        <v>106</v>
      </c>
      <c r="C6" s="34" t="s">
        <v>107</v>
      </c>
      <c r="D6" s="34">
        <v>1.0</v>
      </c>
      <c r="E6" s="34"/>
      <c r="F6" s="34" t="s">
        <v>96</v>
      </c>
      <c r="G6" s="5" t="s">
        <v>108</v>
      </c>
      <c r="H6" s="22" t="s">
        <v>97</v>
      </c>
      <c r="I6" s="19"/>
      <c r="W6" s="22">
        <f t="shared" si="1"/>
        <v>0</v>
      </c>
    </row>
    <row r="7" ht="12.75" customHeight="1">
      <c r="A7" s="33" t="s">
        <v>51</v>
      </c>
      <c r="B7" s="33" t="s">
        <v>109</v>
      </c>
      <c r="C7" s="34" t="s">
        <v>110</v>
      </c>
      <c r="D7" s="34">
        <v>1.0</v>
      </c>
      <c r="E7" s="34"/>
      <c r="F7" s="34" t="s">
        <v>96</v>
      </c>
      <c r="G7" s="5" t="s">
        <v>41</v>
      </c>
      <c r="H7" s="22" t="s">
        <v>111</v>
      </c>
      <c r="I7" s="5" t="s">
        <v>112</v>
      </c>
      <c r="J7" s="5">
        <f>SUM(W3:W62)</f>
        <v>63</v>
      </c>
      <c r="W7" s="22">
        <f t="shared" si="1"/>
        <v>1</v>
      </c>
    </row>
    <row r="8" ht="12.75" customHeight="1">
      <c r="A8" s="33" t="s">
        <v>40</v>
      </c>
      <c r="B8" s="33" t="s">
        <v>113</v>
      </c>
      <c r="C8" s="34" t="s">
        <v>114</v>
      </c>
      <c r="D8" s="34">
        <v>1.0</v>
      </c>
      <c r="E8" s="34" t="s">
        <v>95</v>
      </c>
      <c r="F8" s="34" t="s">
        <v>40</v>
      </c>
      <c r="G8" s="5" t="s">
        <v>41</v>
      </c>
      <c r="H8" s="22" t="s">
        <v>111</v>
      </c>
      <c r="I8" s="5" t="s">
        <v>115</v>
      </c>
      <c r="J8" s="7">
        <f> J7 * J2</f>
        <v>1260</v>
      </c>
      <c r="W8" s="22">
        <f t="shared" si="1"/>
        <v>1</v>
      </c>
    </row>
    <row r="9" ht="12.75" customHeight="1">
      <c r="A9" s="33" t="s">
        <v>116</v>
      </c>
      <c r="B9" s="33" t="s">
        <v>117</v>
      </c>
      <c r="C9" s="34" t="s">
        <v>118</v>
      </c>
      <c r="D9" s="34">
        <v>1.0</v>
      </c>
      <c r="E9" s="34"/>
      <c r="F9" s="34" t="s">
        <v>96</v>
      </c>
      <c r="G9" s="5" t="s">
        <v>41</v>
      </c>
      <c r="H9" s="22" t="s">
        <v>97</v>
      </c>
      <c r="W9" s="22">
        <f t="shared" si="1"/>
        <v>1</v>
      </c>
    </row>
    <row r="10" ht="12.75" customHeight="1">
      <c r="A10" s="33" t="s">
        <v>119</v>
      </c>
      <c r="B10" s="33" t="s">
        <v>120</v>
      </c>
      <c r="C10" s="34" t="s">
        <v>121</v>
      </c>
      <c r="D10" s="34">
        <v>1.0</v>
      </c>
      <c r="E10" s="34"/>
      <c r="F10" s="34" t="s">
        <v>96</v>
      </c>
      <c r="G10" s="5" t="s">
        <v>41</v>
      </c>
      <c r="H10" s="22" t="s">
        <v>97</v>
      </c>
      <c r="I10" s="5" t="s">
        <v>122</v>
      </c>
      <c r="J10" s="7">
        <f>J5-J8</f>
        <v>20</v>
      </c>
      <c r="W10" s="22">
        <f t="shared" si="1"/>
        <v>1</v>
      </c>
    </row>
    <row r="11" ht="12.75" customHeight="1">
      <c r="A11" s="33" t="s">
        <v>123</v>
      </c>
      <c r="B11" s="33" t="s">
        <v>124</v>
      </c>
      <c r="C11" s="34" t="s">
        <v>125</v>
      </c>
      <c r="D11" s="34">
        <v>2.0</v>
      </c>
      <c r="E11" s="34" t="s">
        <v>126</v>
      </c>
      <c r="F11" s="34" t="s">
        <v>78</v>
      </c>
      <c r="G11" s="5" t="s">
        <v>41</v>
      </c>
      <c r="H11" s="22" t="s">
        <v>97</v>
      </c>
      <c r="W11" s="22">
        <f t="shared" si="1"/>
        <v>2</v>
      </c>
    </row>
    <row r="12" ht="12.75" customHeight="1">
      <c r="A12" s="33" t="s">
        <v>127</v>
      </c>
      <c r="B12" s="33" t="s">
        <v>128</v>
      </c>
      <c r="C12" s="35" t="s">
        <v>129</v>
      </c>
      <c r="D12" s="34">
        <v>2.0</v>
      </c>
      <c r="E12" s="34"/>
      <c r="F12" s="34" t="s">
        <v>130</v>
      </c>
      <c r="G12" s="5" t="s">
        <v>41</v>
      </c>
      <c r="H12" s="22" t="s">
        <v>111</v>
      </c>
      <c r="W12" s="22">
        <f t="shared" si="1"/>
        <v>2</v>
      </c>
    </row>
    <row r="13" ht="12.75" customHeight="1">
      <c r="A13" s="33" t="s">
        <v>131</v>
      </c>
      <c r="B13" s="36" t="s">
        <v>132</v>
      </c>
      <c r="C13" s="34" t="s">
        <v>133</v>
      </c>
      <c r="D13" s="34">
        <v>2.0</v>
      </c>
      <c r="E13" s="34"/>
      <c r="F13" s="34" t="s">
        <v>130</v>
      </c>
      <c r="G13" s="5" t="s">
        <v>41</v>
      </c>
      <c r="H13" s="22" t="s">
        <v>97</v>
      </c>
      <c r="W13" s="22">
        <f t="shared" si="1"/>
        <v>2</v>
      </c>
    </row>
    <row r="14" ht="12.75" customHeight="1">
      <c r="A14" s="33" t="s">
        <v>134</v>
      </c>
      <c r="B14" s="33" t="s">
        <v>135</v>
      </c>
      <c r="C14" s="34" t="s">
        <v>136</v>
      </c>
      <c r="D14" s="34">
        <v>1.0</v>
      </c>
      <c r="E14" s="34"/>
      <c r="F14" s="34" t="s">
        <v>130</v>
      </c>
      <c r="G14" s="5" t="s">
        <v>41</v>
      </c>
      <c r="H14" s="22" t="s">
        <v>97</v>
      </c>
      <c r="I14" s="19"/>
      <c r="W14" s="22">
        <f t="shared" si="1"/>
        <v>1</v>
      </c>
    </row>
    <row r="15" ht="12.75" customHeight="1">
      <c r="A15" s="33" t="s">
        <v>137</v>
      </c>
      <c r="B15" s="33" t="s">
        <v>138</v>
      </c>
      <c r="C15" s="34" t="s">
        <v>139</v>
      </c>
      <c r="D15" s="34">
        <v>1.0</v>
      </c>
      <c r="E15" s="34" t="s">
        <v>95</v>
      </c>
      <c r="F15" s="34" t="s">
        <v>130</v>
      </c>
      <c r="G15" s="5" t="s">
        <v>41</v>
      </c>
      <c r="H15" s="22" t="s">
        <v>97</v>
      </c>
      <c r="W15" s="22">
        <f t="shared" si="1"/>
        <v>1</v>
      </c>
    </row>
    <row r="16" ht="12.75" customHeight="1">
      <c r="A16" s="33" t="s">
        <v>140</v>
      </c>
      <c r="B16" s="33" t="s">
        <v>141</v>
      </c>
      <c r="C16" s="34" t="s">
        <v>142</v>
      </c>
      <c r="D16" s="34">
        <v>2.0</v>
      </c>
      <c r="E16" s="34" t="s">
        <v>126</v>
      </c>
      <c r="F16" s="34" t="s">
        <v>27</v>
      </c>
      <c r="G16" s="5" t="s">
        <v>41</v>
      </c>
      <c r="H16" s="19" t="s">
        <v>97</v>
      </c>
      <c r="W16" s="22">
        <f t="shared" si="1"/>
        <v>2</v>
      </c>
    </row>
    <row r="17" ht="12.75" customHeight="1">
      <c r="A17" s="33" t="s">
        <v>143</v>
      </c>
      <c r="B17" s="33" t="s">
        <v>144</v>
      </c>
      <c r="C17" s="34" t="s">
        <v>145</v>
      </c>
      <c r="D17" s="34">
        <v>2.0</v>
      </c>
      <c r="E17" s="34"/>
      <c r="F17" s="34" t="s">
        <v>27</v>
      </c>
      <c r="G17" s="5" t="s">
        <v>41</v>
      </c>
      <c r="H17" s="22" t="s">
        <v>111</v>
      </c>
      <c r="W17" s="22">
        <f t="shared" si="1"/>
        <v>2</v>
      </c>
    </row>
    <row r="18" ht="12.75" customHeight="1">
      <c r="A18" s="33" t="s">
        <v>146</v>
      </c>
      <c r="B18" s="33" t="s">
        <v>147</v>
      </c>
      <c r="C18" s="34" t="s">
        <v>148</v>
      </c>
      <c r="D18" s="34">
        <v>1.0</v>
      </c>
      <c r="E18" s="34"/>
      <c r="F18" s="34" t="s">
        <v>78</v>
      </c>
      <c r="G18" s="5" t="s">
        <v>41</v>
      </c>
      <c r="H18" s="22" t="s">
        <v>97</v>
      </c>
      <c r="W18" s="22">
        <f t="shared" si="1"/>
        <v>1</v>
      </c>
    </row>
    <row r="19" ht="12.75" customHeight="1">
      <c r="A19" s="33" t="s">
        <v>149</v>
      </c>
      <c r="B19" s="33" t="s">
        <v>150</v>
      </c>
      <c r="C19" s="34" t="s">
        <v>151</v>
      </c>
      <c r="D19" s="34">
        <v>1.0</v>
      </c>
      <c r="E19" s="34"/>
      <c r="F19" s="34" t="s">
        <v>78</v>
      </c>
      <c r="G19" s="5" t="s">
        <v>41</v>
      </c>
      <c r="H19" s="22" t="s">
        <v>97</v>
      </c>
      <c r="W19" s="22">
        <f t="shared" si="1"/>
        <v>1</v>
      </c>
    </row>
    <row r="20" ht="12.75" customHeight="1">
      <c r="A20" s="33" t="s">
        <v>152</v>
      </c>
      <c r="B20" s="33" t="s">
        <v>153</v>
      </c>
      <c r="C20" s="34" t="s">
        <v>154</v>
      </c>
      <c r="D20" s="34">
        <v>2.0</v>
      </c>
      <c r="E20" s="34"/>
      <c r="F20" s="34" t="s">
        <v>40</v>
      </c>
      <c r="G20" s="5" t="s">
        <v>41</v>
      </c>
      <c r="H20" s="22" t="s">
        <v>111</v>
      </c>
      <c r="W20" s="22">
        <f t="shared" si="1"/>
        <v>2</v>
      </c>
    </row>
    <row r="21" ht="12.75" customHeight="1">
      <c r="A21" s="33" t="s">
        <v>155</v>
      </c>
      <c r="B21" s="33" t="s">
        <v>156</v>
      </c>
      <c r="C21" s="34" t="s">
        <v>157</v>
      </c>
      <c r="D21" s="34">
        <v>2.0</v>
      </c>
      <c r="E21" s="34"/>
      <c r="F21" s="34" t="s">
        <v>27</v>
      </c>
      <c r="G21" s="5" t="s">
        <v>41</v>
      </c>
      <c r="H21" s="22" t="s">
        <v>111</v>
      </c>
      <c r="W21" s="22">
        <f t="shared" si="1"/>
        <v>2</v>
      </c>
    </row>
    <row r="22" ht="12.75" customHeight="1">
      <c r="A22" s="33" t="s">
        <v>69</v>
      </c>
      <c r="B22" s="33" t="s">
        <v>158</v>
      </c>
      <c r="C22" s="34" t="s">
        <v>159</v>
      </c>
      <c r="D22" s="34">
        <v>5.0</v>
      </c>
      <c r="E22" s="34"/>
      <c r="F22" s="34" t="s">
        <v>69</v>
      </c>
      <c r="G22" s="5" t="s">
        <v>41</v>
      </c>
      <c r="H22" s="22" t="s">
        <v>111</v>
      </c>
      <c r="W22" s="22">
        <f t="shared" si="1"/>
        <v>5</v>
      </c>
    </row>
    <row r="23" ht="12.75" customHeight="1">
      <c r="A23" s="33" t="s">
        <v>160</v>
      </c>
      <c r="B23" s="33" t="s">
        <v>113</v>
      </c>
      <c r="C23" s="34" t="s">
        <v>161</v>
      </c>
      <c r="D23" s="34">
        <v>2.0</v>
      </c>
      <c r="E23" s="34"/>
      <c r="F23" s="34" t="s">
        <v>40</v>
      </c>
      <c r="G23" s="5" t="s">
        <v>41</v>
      </c>
      <c r="H23" s="22" t="s">
        <v>97</v>
      </c>
      <c r="W23" s="22">
        <f t="shared" si="1"/>
        <v>2</v>
      </c>
    </row>
    <row r="24" ht="12.75" customHeight="1">
      <c r="A24" s="33" t="s">
        <v>24</v>
      </c>
      <c r="B24" s="33"/>
      <c r="C24" s="34"/>
      <c r="D24" s="34">
        <v>2.0</v>
      </c>
      <c r="E24" s="34"/>
      <c r="F24" s="34" t="s">
        <v>27</v>
      </c>
      <c r="G24" s="5" t="s">
        <v>41</v>
      </c>
      <c r="H24" s="22" t="s">
        <v>111</v>
      </c>
      <c r="W24" s="22">
        <f t="shared" si="1"/>
        <v>2</v>
      </c>
    </row>
    <row r="25" ht="12.75" customHeight="1">
      <c r="A25" s="33" t="s">
        <v>51</v>
      </c>
      <c r="B25" s="33" t="s">
        <v>162</v>
      </c>
      <c r="C25" s="34" t="s">
        <v>163</v>
      </c>
      <c r="D25" s="34">
        <v>4.0</v>
      </c>
      <c r="E25" s="34"/>
      <c r="F25" s="34" t="s">
        <v>40</v>
      </c>
      <c r="G25" s="5" t="s">
        <v>41</v>
      </c>
      <c r="H25" s="22" t="s">
        <v>97</v>
      </c>
      <c r="W25" s="22">
        <f t="shared" si="1"/>
        <v>4</v>
      </c>
    </row>
    <row r="26" ht="12.75" customHeight="1">
      <c r="A26" s="33" t="s">
        <v>164</v>
      </c>
      <c r="B26" s="33" t="s">
        <v>156</v>
      </c>
      <c r="C26" s="34" t="s">
        <v>165</v>
      </c>
      <c r="D26" s="34">
        <v>1.0</v>
      </c>
      <c r="E26" s="34"/>
      <c r="F26" s="34" t="s">
        <v>78</v>
      </c>
      <c r="G26" s="5" t="s">
        <v>41</v>
      </c>
      <c r="H26" s="22" t="s">
        <v>111</v>
      </c>
      <c r="W26" s="22">
        <f t="shared" si="1"/>
        <v>1</v>
      </c>
    </row>
    <row r="27" ht="12.75" customHeight="1">
      <c r="A27" s="33" t="s">
        <v>166</v>
      </c>
      <c r="B27" s="33"/>
      <c r="C27" s="34" t="s">
        <v>167</v>
      </c>
      <c r="D27" s="34">
        <v>1.0</v>
      </c>
      <c r="E27" s="34"/>
      <c r="F27" s="34" t="s">
        <v>27</v>
      </c>
      <c r="G27" s="5" t="s">
        <v>41</v>
      </c>
      <c r="H27" s="22" t="s">
        <v>111</v>
      </c>
      <c r="W27" s="22">
        <f t="shared" si="1"/>
        <v>1</v>
      </c>
    </row>
    <row r="28" ht="12.75" customHeight="1">
      <c r="A28" s="33" t="s">
        <v>168</v>
      </c>
      <c r="B28" s="33"/>
      <c r="C28" s="34" t="s">
        <v>169</v>
      </c>
      <c r="D28" s="34">
        <v>1.0</v>
      </c>
      <c r="E28" s="34"/>
      <c r="F28" s="34" t="s">
        <v>27</v>
      </c>
      <c r="G28" s="5" t="s">
        <v>41</v>
      </c>
      <c r="H28" s="22" t="s">
        <v>97</v>
      </c>
      <c r="W28" s="22">
        <f t="shared" si="1"/>
        <v>1</v>
      </c>
    </row>
    <row r="29" ht="12.75" customHeight="1">
      <c r="A29" s="33" t="s">
        <v>75</v>
      </c>
      <c r="B29" s="33" t="s">
        <v>156</v>
      </c>
      <c r="C29" s="34"/>
      <c r="D29" s="34">
        <v>1.0</v>
      </c>
      <c r="E29" s="34"/>
      <c r="F29" s="34" t="s">
        <v>27</v>
      </c>
      <c r="G29" s="5" t="s">
        <v>41</v>
      </c>
      <c r="H29" s="22" t="s">
        <v>111</v>
      </c>
      <c r="W29" s="22">
        <f t="shared" si="1"/>
        <v>1</v>
      </c>
    </row>
    <row r="30" ht="12.75" customHeight="1">
      <c r="A30" s="33" t="s">
        <v>170</v>
      </c>
      <c r="B30" s="33" t="s">
        <v>171</v>
      </c>
      <c r="C30" s="34"/>
      <c r="D30" s="34">
        <v>2.0</v>
      </c>
      <c r="E30" s="34"/>
      <c r="F30" s="34" t="s">
        <v>27</v>
      </c>
      <c r="G30" s="5" t="s">
        <v>41</v>
      </c>
      <c r="H30" s="22" t="s">
        <v>97</v>
      </c>
      <c r="W30" s="22">
        <f t="shared" si="1"/>
        <v>2</v>
      </c>
    </row>
    <row r="31" ht="12.75" customHeight="1">
      <c r="A31" s="37" t="s">
        <v>172</v>
      </c>
      <c r="B31" s="38" t="s">
        <v>173</v>
      </c>
      <c r="C31" s="39" t="s">
        <v>174</v>
      </c>
      <c r="D31" s="39">
        <v>2.0</v>
      </c>
      <c r="E31" s="34"/>
      <c r="F31" s="39" t="s">
        <v>40</v>
      </c>
      <c r="G31" s="40" t="s">
        <v>41</v>
      </c>
      <c r="H31" s="22" t="s">
        <v>111</v>
      </c>
      <c r="W31" s="22">
        <f t="shared" si="1"/>
        <v>2</v>
      </c>
    </row>
    <row r="32" ht="12.75" customHeight="1">
      <c r="A32" s="33" t="s">
        <v>175</v>
      </c>
      <c r="B32" s="33" t="s">
        <v>176</v>
      </c>
      <c r="C32" s="39" t="s">
        <v>174</v>
      </c>
      <c r="D32" s="34">
        <v>1.0</v>
      </c>
      <c r="E32" s="34"/>
      <c r="F32" s="34" t="s">
        <v>40</v>
      </c>
      <c r="G32" s="5" t="s">
        <v>41</v>
      </c>
      <c r="H32" s="22" t="s">
        <v>97</v>
      </c>
      <c r="W32" s="22">
        <f t="shared" si="1"/>
        <v>1</v>
      </c>
    </row>
    <row r="33" ht="12.75" customHeight="1">
      <c r="A33" s="33" t="s">
        <v>177</v>
      </c>
      <c r="B33" s="33" t="s">
        <v>178</v>
      </c>
      <c r="C33" s="34" t="s">
        <v>179</v>
      </c>
      <c r="D33" s="34">
        <v>7.0</v>
      </c>
      <c r="E33" s="34"/>
      <c r="F33" s="34" t="s">
        <v>40</v>
      </c>
      <c r="G33" s="5" t="s">
        <v>41</v>
      </c>
      <c r="H33" s="22" t="s">
        <v>111</v>
      </c>
      <c r="W33" s="22">
        <f t="shared" si="1"/>
        <v>7</v>
      </c>
    </row>
    <row r="34" ht="12.75" customHeight="1">
      <c r="A34" s="33" t="s">
        <v>180</v>
      </c>
      <c r="B34" s="33" t="s">
        <v>181</v>
      </c>
      <c r="C34" s="34" t="s">
        <v>182</v>
      </c>
      <c r="D34" s="34">
        <v>3.0</v>
      </c>
      <c r="E34" s="34"/>
      <c r="F34" s="34" t="s">
        <v>183</v>
      </c>
      <c r="G34" s="5" t="s">
        <v>41</v>
      </c>
      <c r="H34" s="22" t="s">
        <v>97</v>
      </c>
      <c r="W34" s="22">
        <f t="shared" si="1"/>
        <v>3</v>
      </c>
    </row>
    <row r="35" ht="12.75" customHeight="1">
      <c r="A35" s="33" t="s">
        <v>184</v>
      </c>
      <c r="B35" s="33" t="s">
        <v>185</v>
      </c>
      <c r="C35" s="34" t="s">
        <v>186</v>
      </c>
      <c r="D35" s="34">
        <v>4.0</v>
      </c>
      <c r="E35" s="34"/>
      <c r="F35" s="34" t="s">
        <v>183</v>
      </c>
      <c r="G35" s="5" t="s">
        <v>41</v>
      </c>
      <c r="H35" s="22" t="s">
        <v>97</v>
      </c>
      <c r="W35" s="22">
        <f t="shared" si="1"/>
        <v>4</v>
      </c>
    </row>
    <row r="36" ht="12.75" customHeight="1">
      <c r="A36" s="33" t="s">
        <v>96</v>
      </c>
      <c r="B36" s="33"/>
      <c r="C36" s="34"/>
      <c r="D36" s="34">
        <v>1.0</v>
      </c>
      <c r="E36" s="34"/>
      <c r="F36" s="34" t="s">
        <v>96</v>
      </c>
      <c r="G36" s="5" t="s">
        <v>41</v>
      </c>
      <c r="H36" s="22" t="s">
        <v>97</v>
      </c>
      <c r="W36" s="22">
        <f t="shared" si="1"/>
        <v>1</v>
      </c>
    </row>
    <row r="37" ht="12.75" customHeight="1">
      <c r="A37" s="33"/>
      <c r="B37" s="33"/>
      <c r="C37" s="34"/>
      <c r="D37" s="34"/>
      <c r="E37" s="34"/>
      <c r="F37" s="34"/>
      <c r="G37" s="5" t="s">
        <v>108</v>
      </c>
      <c r="W37" s="22">
        <f t="shared" si="1"/>
        <v>0</v>
      </c>
    </row>
    <row r="38" ht="12.75" customHeight="1">
      <c r="A38" s="33"/>
      <c r="B38" s="33"/>
      <c r="C38" s="34"/>
      <c r="D38" s="34"/>
      <c r="E38" s="34"/>
      <c r="F38" s="34"/>
      <c r="G38" s="5" t="s">
        <v>108</v>
      </c>
      <c r="W38" s="22">
        <f t="shared" si="1"/>
        <v>0</v>
      </c>
    </row>
    <row r="39" ht="12.75" customHeight="1">
      <c r="A39" s="33"/>
      <c r="B39" s="33"/>
      <c r="C39" s="34"/>
      <c r="D39" s="34"/>
      <c r="E39" s="34"/>
      <c r="F39" s="34"/>
      <c r="G39" s="5" t="s">
        <v>108</v>
      </c>
      <c r="W39" s="22">
        <f t="shared" si="1"/>
        <v>0</v>
      </c>
    </row>
    <row r="40" ht="12.75" customHeight="1">
      <c r="A40" s="33"/>
      <c r="B40" s="33"/>
      <c r="C40" s="34"/>
      <c r="D40" s="34"/>
      <c r="E40" s="34"/>
      <c r="F40" s="34"/>
      <c r="G40" s="5" t="s">
        <v>108</v>
      </c>
      <c r="W40" s="22">
        <f t="shared" si="1"/>
        <v>0</v>
      </c>
    </row>
    <row r="41" ht="12.75" customHeight="1">
      <c r="A41" s="33"/>
      <c r="B41" s="33"/>
      <c r="C41" s="34"/>
      <c r="D41" s="34"/>
      <c r="E41" s="34"/>
      <c r="F41" s="34"/>
      <c r="G41" s="5" t="s">
        <v>108</v>
      </c>
      <c r="W41" s="22">
        <f t="shared" si="1"/>
        <v>0</v>
      </c>
    </row>
    <row r="42" ht="12.75" customHeight="1">
      <c r="A42" s="33"/>
      <c r="B42" s="33"/>
      <c r="C42" s="34"/>
      <c r="D42" s="34"/>
      <c r="E42" s="34"/>
      <c r="F42" s="34"/>
      <c r="G42" s="5" t="s">
        <v>108</v>
      </c>
      <c r="W42" s="22">
        <f t="shared" si="1"/>
        <v>0</v>
      </c>
    </row>
    <row r="43" ht="12.75" customHeight="1">
      <c r="A43" s="33"/>
      <c r="B43" s="33"/>
      <c r="C43" s="34"/>
      <c r="D43" s="34"/>
      <c r="E43" s="34"/>
      <c r="F43" s="34"/>
      <c r="G43" s="5" t="s">
        <v>108</v>
      </c>
      <c r="W43" s="22">
        <f t="shared" si="1"/>
        <v>0</v>
      </c>
    </row>
    <row r="44" ht="12.75" customHeight="1">
      <c r="A44" s="33"/>
      <c r="B44" s="33"/>
      <c r="C44" s="34"/>
      <c r="D44" s="34"/>
      <c r="E44" s="34"/>
      <c r="F44" s="34"/>
      <c r="G44" s="5" t="s">
        <v>108</v>
      </c>
      <c r="W44" s="22">
        <f t="shared" si="1"/>
        <v>0</v>
      </c>
    </row>
    <row r="45" ht="12.75" customHeight="1">
      <c r="A45" s="33"/>
      <c r="B45" s="33"/>
      <c r="C45" s="34"/>
      <c r="D45" s="34"/>
      <c r="E45" s="34"/>
      <c r="F45" s="34"/>
      <c r="G45" s="5" t="s">
        <v>108</v>
      </c>
      <c r="W45" s="22">
        <f t="shared" si="1"/>
        <v>0</v>
      </c>
    </row>
    <row r="46" ht="12.75" customHeight="1">
      <c r="A46" s="33"/>
      <c r="B46" s="33"/>
      <c r="C46" s="34"/>
      <c r="D46" s="34"/>
      <c r="E46" s="34"/>
      <c r="F46" s="34"/>
      <c r="G46" s="5" t="s">
        <v>108</v>
      </c>
      <c r="W46" s="22">
        <f t="shared" si="1"/>
        <v>0</v>
      </c>
    </row>
    <row r="47" ht="12.75" customHeight="1">
      <c r="A47" s="33"/>
      <c r="B47" s="33"/>
      <c r="C47" s="34"/>
      <c r="D47" s="34"/>
      <c r="E47" s="34"/>
      <c r="F47" s="34"/>
      <c r="G47" s="5" t="s">
        <v>108</v>
      </c>
      <c r="W47" s="22">
        <f t="shared" si="1"/>
        <v>0</v>
      </c>
    </row>
    <row r="48" ht="12.75" customHeight="1">
      <c r="A48" s="33"/>
      <c r="B48" s="33"/>
      <c r="C48" s="34"/>
      <c r="D48" s="34"/>
      <c r="E48" s="34"/>
      <c r="F48" s="34"/>
      <c r="G48" s="5" t="s">
        <v>108</v>
      </c>
      <c r="W48" s="22">
        <f t="shared" si="1"/>
        <v>0</v>
      </c>
    </row>
    <row r="49" ht="12.75" customHeight="1">
      <c r="A49" s="33"/>
      <c r="B49" s="33"/>
      <c r="C49" s="34"/>
      <c r="D49" s="34"/>
      <c r="E49" s="34"/>
      <c r="F49" s="34"/>
      <c r="G49" s="5" t="s">
        <v>108</v>
      </c>
      <c r="W49" s="22">
        <f t="shared" si="1"/>
        <v>0</v>
      </c>
    </row>
    <row r="50" ht="12.75" customHeight="1">
      <c r="A50" s="33"/>
      <c r="B50" s="33"/>
      <c r="C50" s="34"/>
      <c r="D50" s="34"/>
      <c r="E50" s="34"/>
      <c r="F50" s="34"/>
      <c r="G50" s="5" t="s">
        <v>108</v>
      </c>
      <c r="W50" s="22">
        <f t="shared" si="1"/>
        <v>0</v>
      </c>
    </row>
    <row r="51" ht="12.75" customHeight="1">
      <c r="A51" s="33"/>
      <c r="B51" s="33"/>
      <c r="C51" s="34"/>
      <c r="D51" s="34"/>
      <c r="E51" s="34"/>
      <c r="F51" s="34"/>
      <c r="G51" s="5" t="s">
        <v>108</v>
      </c>
      <c r="W51" s="22">
        <f t="shared" si="1"/>
        <v>0</v>
      </c>
    </row>
    <row r="52" ht="12.75" customHeight="1">
      <c r="A52" s="33"/>
      <c r="B52" s="33"/>
      <c r="C52" s="34"/>
      <c r="D52" s="34"/>
      <c r="E52" s="34"/>
      <c r="F52" s="34"/>
      <c r="G52" s="5" t="s">
        <v>108</v>
      </c>
      <c r="W52" s="22">
        <f t="shared" si="1"/>
        <v>0</v>
      </c>
    </row>
    <row r="53" ht="12.75" customHeight="1">
      <c r="A53" s="33"/>
      <c r="B53" s="33"/>
      <c r="C53" s="34"/>
      <c r="D53" s="34"/>
      <c r="E53" s="34"/>
      <c r="F53" s="34"/>
      <c r="G53" s="5" t="s">
        <v>108</v>
      </c>
      <c r="W53" s="22">
        <f t="shared" si="1"/>
        <v>0</v>
      </c>
    </row>
    <row r="54" ht="12.75" customHeight="1">
      <c r="A54" s="33"/>
      <c r="B54" s="33"/>
      <c r="C54" s="34"/>
      <c r="D54" s="34"/>
      <c r="E54" s="34"/>
      <c r="F54" s="34"/>
      <c r="G54" s="5" t="s">
        <v>108</v>
      </c>
      <c r="W54" s="22">
        <f t="shared" si="1"/>
        <v>0</v>
      </c>
    </row>
    <row r="55" ht="12.75" customHeight="1">
      <c r="A55" s="33"/>
      <c r="B55" s="33"/>
      <c r="C55" s="34"/>
      <c r="D55" s="34"/>
      <c r="E55" s="34"/>
      <c r="F55" s="34"/>
      <c r="G55" s="5" t="s">
        <v>108</v>
      </c>
      <c r="W55" s="22">
        <f t="shared" si="1"/>
        <v>0</v>
      </c>
    </row>
    <row r="56" ht="12.75" customHeight="1">
      <c r="A56" s="33"/>
      <c r="B56" s="33"/>
      <c r="C56" s="34"/>
      <c r="D56" s="34"/>
      <c r="E56" s="34"/>
      <c r="F56" s="34"/>
      <c r="G56" s="5" t="s">
        <v>108</v>
      </c>
      <c r="W56" s="22">
        <f t="shared" si="1"/>
        <v>0</v>
      </c>
    </row>
    <row r="57" ht="12.75" customHeight="1">
      <c r="A57" s="33"/>
      <c r="B57" s="33"/>
      <c r="C57" s="34"/>
      <c r="D57" s="34"/>
      <c r="E57" s="34"/>
      <c r="F57" s="34"/>
      <c r="G57" s="5" t="s">
        <v>108</v>
      </c>
      <c r="W57" s="22">
        <f t="shared" si="1"/>
        <v>0</v>
      </c>
    </row>
    <row r="58" ht="12.75" customHeight="1">
      <c r="A58" s="33"/>
      <c r="B58" s="33"/>
      <c r="C58" s="34"/>
      <c r="D58" s="34"/>
      <c r="E58" s="34"/>
      <c r="F58" s="34"/>
      <c r="G58" s="5" t="s">
        <v>108</v>
      </c>
      <c r="W58" s="22">
        <f t="shared" si="1"/>
        <v>0</v>
      </c>
    </row>
    <row r="59" ht="12.75" customHeight="1">
      <c r="A59" s="33"/>
      <c r="B59" s="33"/>
      <c r="C59" s="34"/>
      <c r="D59" s="34"/>
      <c r="E59" s="34"/>
      <c r="F59" s="34"/>
      <c r="G59" s="5" t="s">
        <v>108</v>
      </c>
      <c r="W59" s="22">
        <f t="shared" si="1"/>
        <v>0</v>
      </c>
    </row>
    <row r="60" ht="12.75" customHeight="1">
      <c r="A60" s="33"/>
      <c r="B60" s="33"/>
      <c r="C60" s="34"/>
      <c r="D60" s="34"/>
      <c r="E60" s="34"/>
      <c r="F60" s="34"/>
      <c r="G60" s="5" t="s">
        <v>108</v>
      </c>
      <c r="W60" s="22">
        <f t="shared" si="1"/>
        <v>0</v>
      </c>
    </row>
    <row r="61" ht="12.75" customHeight="1">
      <c r="A61" s="33"/>
      <c r="B61" s="33"/>
      <c r="C61" s="34"/>
      <c r="D61" s="34"/>
      <c r="E61" s="34"/>
      <c r="F61" s="34"/>
      <c r="G61" s="5" t="s">
        <v>108</v>
      </c>
      <c r="W61" s="22">
        <f t="shared" si="1"/>
        <v>0</v>
      </c>
    </row>
    <row r="62" ht="12.75" customHeight="1">
      <c r="A62" s="33"/>
      <c r="B62" s="33"/>
      <c r="C62" s="34"/>
      <c r="D62" s="34"/>
      <c r="E62" s="34"/>
      <c r="F62" s="34"/>
      <c r="G62" s="5" t="s">
        <v>108</v>
      </c>
      <c r="W62" s="22">
        <f t="shared" si="1"/>
        <v>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conditionalFormatting sqref="A3:A62">
    <cfRule type="expression" dxfId="2" priority="1">
      <formula>G3="PAGO"</formula>
    </cfRule>
  </conditionalFormatting>
  <conditionalFormatting sqref="B3:B62">
    <cfRule type="expression" dxfId="2" priority="2">
      <formula>G3="PAGO"</formula>
    </cfRule>
  </conditionalFormatting>
  <conditionalFormatting sqref="C3:C11 C14:C62">
    <cfRule type="expression" dxfId="2" priority="3">
      <formula>G3="PAGO"</formula>
    </cfRule>
  </conditionalFormatting>
  <conditionalFormatting sqref="C13">
    <cfRule type="expression" dxfId="2" priority="4">
      <formula>G12="PAGO"</formula>
    </cfRule>
  </conditionalFormatting>
  <conditionalFormatting sqref="D3:D62">
    <cfRule type="expression" dxfId="3" priority="5">
      <formula>G3="PAGO"</formula>
    </cfRule>
  </conditionalFormatting>
  <conditionalFormatting sqref="E3:E62">
    <cfRule type="expression" dxfId="3" priority="6">
      <formula>G3="PAGO"</formula>
    </cfRule>
  </conditionalFormatting>
  <conditionalFormatting sqref="F3:F62">
    <cfRule type="expression" dxfId="3" priority="7">
      <formula>G3="PAGO"</formula>
    </cfRule>
  </conditionalFormatting>
  <conditionalFormatting sqref="G3:G62">
    <cfRule type="cellIs" dxfId="4" priority="8" operator="equal">
      <formula>"A PAGAR"</formula>
    </cfRule>
  </conditionalFormatting>
  <conditionalFormatting sqref="G3:G62">
    <cfRule type="cellIs" dxfId="0" priority="9" operator="equal">
      <formula>"PAGO"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3.75"/>
    <col customWidth="1" min="3" max="3" width="28.0"/>
    <col customWidth="1" min="4" max="4" width="41.13"/>
    <col customWidth="1" min="5" max="5" width="15.13"/>
    <col customWidth="1" min="6" max="6" width="8.63"/>
    <col customWidth="1" min="7" max="7" width="26.88"/>
    <col customWidth="1" min="8" max="26" width="8.63"/>
  </cols>
  <sheetData>
    <row r="1" ht="12.75" customHeight="1"/>
    <row r="2" ht="12.75" customHeight="1">
      <c r="A2" s="41" t="s">
        <v>187</v>
      </c>
      <c r="B2" s="41" t="s">
        <v>33</v>
      </c>
      <c r="C2" s="41" t="s">
        <v>188</v>
      </c>
      <c r="D2" s="41" t="s">
        <v>189</v>
      </c>
      <c r="E2" s="41" t="s">
        <v>190</v>
      </c>
      <c r="G2" s="41" t="s">
        <v>191</v>
      </c>
    </row>
    <row r="3" ht="12.75" customHeight="1">
      <c r="A3" s="33"/>
      <c r="B3" s="34"/>
      <c r="C3" s="33"/>
      <c r="D3" s="34"/>
      <c r="E3" s="33" t="str">
        <f t="shared" ref="E3:E20" si="1">CONCAT("R$", B3 * D3)</f>
        <v>R$0</v>
      </c>
      <c r="G3" s="5" t="str">
        <f>CONCAT("R$",SUM(A33:A50))</f>
        <v>R$0</v>
      </c>
    </row>
    <row r="4" ht="12.75" customHeight="1">
      <c r="A4" s="33"/>
      <c r="B4" s="34"/>
      <c r="C4" s="33"/>
      <c r="D4" s="34"/>
      <c r="E4" s="33" t="str">
        <f t="shared" si="1"/>
        <v>R$0</v>
      </c>
    </row>
    <row r="5" ht="12.75" customHeight="1">
      <c r="A5" s="33"/>
      <c r="B5" s="34"/>
      <c r="C5" s="33"/>
      <c r="D5" s="34"/>
      <c r="E5" s="33" t="str">
        <f t="shared" si="1"/>
        <v>R$0</v>
      </c>
    </row>
    <row r="6" ht="12.75" customHeight="1">
      <c r="A6" s="33"/>
      <c r="B6" s="34"/>
      <c r="C6" s="33"/>
      <c r="D6" s="34"/>
      <c r="E6" s="33" t="str">
        <f t="shared" si="1"/>
        <v>R$0</v>
      </c>
    </row>
    <row r="7" ht="12.75" customHeight="1">
      <c r="A7" s="33"/>
      <c r="B7" s="34"/>
      <c r="C7" s="33"/>
      <c r="D7" s="34"/>
      <c r="E7" s="33" t="str">
        <f t="shared" si="1"/>
        <v>R$0</v>
      </c>
    </row>
    <row r="8" ht="12.75" customHeight="1">
      <c r="A8" s="33"/>
      <c r="B8" s="34"/>
      <c r="C8" s="33"/>
      <c r="D8" s="34"/>
      <c r="E8" s="33" t="str">
        <f t="shared" si="1"/>
        <v>R$0</v>
      </c>
    </row>
    <row r="9" ht="12.75" customHeight="1">
      <c r="A9" s="33"/>
      <c r="B9" s="34"/>
      <c r="C9" s="33"/>
      <c r="D9" s="34"/>
      <c r="E9" s="33" t="str">
        <f t="shared" si="1"/>
        <v>R$0</v>
      </c>
    </row>
    <row r="10" ht="12.75" customHeight="1">
      <c r="A10" s="33"/>
      <c r="B10" s="34"/>
      <c r="C10" s="33"/>
      <c r="D10" s="34"/>
      <c r="E10" s="33" t="str">
        <f t="shared" si="1"/>
        <v>R$0</v>
      </c>
    </row>
    <row r="11" ht="12.75" customHeight="1">
      <c r="A11" s="33"/>
      <c r="B11" s="34"/>
      <c r="C11" s="33"/>
      <c r="D11" s="34"/>
      <c r="E11" s="33" t="str">
        <f t="shared" si="1"/>
        <v>R$0</v>
      </c>
    </row>
    <row r="12" ht="12.75" customHeight="1">
      <c r="A12" s="33"/>
      <c r="B12" s="34"/>
      <c r="C12" s="33"/>
      <c r="D12" s="34"/>
      <c r="E12" s="33" t="str">
        <f t="shared" si="1"/>
        <v>R$0</v>
      </c>
    </row>
    <row r="13" ht="12.75" customHeight="1">
      <c r="A13" s="33"/>
      <c r="B13" s="34"/>
      <c r="C13" s="33"/>
      <c r="D13" s="34"/>
      <c r="E13" s="33" t="str">
        <f t="shared" si="1"/>
        <v>R$0</v>
      </c>
    </row>
    <row r="14" ht="12.75" customHeight="1">
      <c r="A14" s="33"/>
      <c r="B14" s="34"/>
      <c r="C14" s="33"/>
      <c r="D14" s="34"/>
      <c r="E14" s="33" t="str">
        <f t="shared" si="1"/>
        <v>R$0</v>
      </c>
    </row>
    <row r="15" ht="12.75" customHeight="1">
      <c r="A15" s="33"/>
      <c r="B15" s="34"/>
      <c r="C15" s="33"/>
      <c r="D15" s="34"/>
      <c r="E15" s="33" t="str">
        <f t="shared" si="1"/>
        <v>R$0</v>
      </c>
    </row>
    <row r="16" ht="12.75" customHeight="1">
      <c r="A16" s="33"/>
      <c r="B16" s="34"/>
      <c r="C16" s="33"/>
      <c r="D16" s="34"/>
      <c r="E16" s="33" t="str">
        <f t="shared" si="1"/>
        <v>R$0</v>
      </c>
    </row>
    <row r="17" ht="12.75" customHeight="1">
      <c r="A17" s="33"/>
      <c r="B17" s="34"/>
      <c r="C17" s="33"/>
      <c r="D17" s="34"/>
      <c r="E17" s="33" t="str">
        <f t="shared" si="1"/>
        <v>R$0</v>
      </c>
    </row>
    <row r="18" ht="12.75" customHeight="1">
      <c r="A18" s="33"/>
      <c r="B18" s="34"/>
      <c r="C18" s="33"/>
      <c r="D18" s="34"/>
      <c r="E18" s="33" t="str">
        <f t="shared" si="1"/>
        <v>R$0</v>
      </c>
    </row>
    <row r="19" ht="12.75" customHeight="1">
      <c r="A19" s="33"/>
      <c r="B19" s="34"/>
      <c r="C19" s="33"/>
      <c r="D19" s="34"/>
      <c r="E19" s="33" t="str">
        <f t="shared" si="1"/>
        <v>R$0</v>
      </c>
    </row>
    <row r="20" ht="12.75" customHeight="1">
      <c r="A20" s="33"/>
      <c r="B20" s="34"/>
      <c r="C20" s="33"/>
      <c r="D20" s="34"/>
      <c r="E20" s="33" t="str">
        <f t="shared" si="1"/>
        <v>R$0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>
      <c r="A33" s="22">
        <f t="shared" ref="A33:A50" si="2">B3 * D3</f>
        <v>0</v>
      </c>
    </row>
    <row r="34" ht="12.75" customHeight="1">
      <c r="A34" s="22">
        <f t="shared" si="2"/>
        <v>0</v>
      </c>
    </row>
    <row r="35" ht="12.75" customHeight="1">
      <c r="A35" s="22">
        <f t="shared" si="2"/>
        <v>0</v>
      </c>
    </row>
    <row r="36" ht="12.75" customHeight="1">
      <c r="A36" s="22">
        <f t="shared" si="2"/>
        <v>0</v>
      </c>
    </row>
    <row r="37" ht="12.75" customHeight="1">
      <c r="A37" s="22">
        <f t="shared" si="2"/>
        <v>0</v>
      </c>
    </row>
    <row r="38" ht="12.75" customHeight="1">
      <c r="A38" s="22">
        <f t="shared" si="2"/>
        <v>0</v>
      </c>
    </row>
    <row r="39" ht="12.75" customHeight="1">
      <c r="A39" s="22">
        <f t="shared" si="2"/>
        <v>0</v>
      </c>
    </row>
    <row r="40" ht="12.75" customHeight="1">
      <c r="A40" s="22">
        <f t="shared" si="2"/>
        <v>0</v>
      </c>
    </row>
    <row r="41" ht="12.75" customHeight="1">
      <c r="A41" s="22">
        <f t="shared" si="2"/>
        <v>0</v>
      </c>
    </row>
    <row r="42" ht="12.75" customHeight="1">
      <c r="A42" s="22">
        <f t="shared" si="2"/>
        <v>0</v>
      </c>
    </row>
    <row r="43" ht="12.75" customHeight="1">
      <c r="A43" s="22">
        <f t="shared" si="2"/>
        <v>0</v>
      </c>
    </row>
    <row r="44" ht="12.75" customHeight="1">
      <c r="A44" s="22">
        <f t="shared" si="2"/>
        <v>0</v>
      </c>
    </row>
    <row r="45" ht="12.75" customHeight="1">
      <c r="A45" s="22">
        <f t="shared" si="2"/>
        <v>0</v>
      </c>
    </row>
    <row r="46" ht="12.75" customHeight="1">
      <c r="A46" s="22">
        <f t="shared" si="2"/>
        <v>0</v>
      </c>
    </row>
    <row r="47" ht="12.75" customHeight="1">
      <c r="A47" s="22">
        <f t="shared" si="2"/>
        <v>0</v>
      </c>
    </row>
    <row r="48" ht="12.75" customHeight="1">
      <c r="A48" s="22">
        <f t="shared" si="2"/>
        <v>0</v>
      </c>
    </row>
    <row r="49" ht="12.75" customHeight="1">
      <c r="A49" s="22">
        <f t="shared" si="2"/>
        <v>0</v>
      </c>
    </row>
    <row r="50" ht="12.75" customHeight="1">
      <c r="A50" s="22">
        <f t="shared" si="2"/>
        <v>0</v>
      </c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2024-10-27T10:02:50Z</dcterms:created>
  <dc:creator>wanderson patricio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881dc9-f7f2-41de-a334-ceff3dc15b31_Enabled">
    <vt:lpwstr>true</vt:lpwstr>
  </property>
  <property fmtid="{D5CDD505-2E9C-101B-9397-08002B2CF9AE}" pid="3" name="MSIP_Label_40881dc9-f7f2-41de-a334-ceff3dc15b31_SetDate">
    <vt:lpwstr>2024-09-26T15:40:38Z</vt:lpwstr>
  </property>
  <property fmtid="{D5CDD505-2E9C-101B-9397-08002B2CF9AE}" pid="4" name="MSIP_Label_40881dc9-f7f2-41de-a334-ceff3dc15b31_Method">
    <vt:lpwstr>Standard</vt:lpwstr>
  </property>
  <property fmtid="{D5CDD505-2E9C-101B-9397-08002B2CF9AE}" pid="5" name="MSIP_Label_40881dc9-f7f2-41de-a334-ceff3dc15b31_Name">
    <vt:lpwstr>40881dc9-f7f2-41de-a334-ceff3dc15b31</vt:lpwstr>
  </property>
  <property fmtid="{D5CDD505-2E9C-101B-9397-08002B2CF9AE}" pid="6" name="MSIP_Label_40881dc9-f7f2-41de-a334-ceff3dc15b31_SiteId">
    <vt:lpwstr>ea0c2907-38d2-4181-8750-b0b190b60443</vt:lpwstr>
  </property>
  <property fmtid="{D5CDD505-2E9C-101B-9397-08002B2CF9AE}" pid="7" name="MSIP_Label_40881dc9-f7f2-41de-a334-ceff3dc15b31_ActionId">
    <vt:lpwstr>03401c4c-b548-496a-b114-61166f6b788e</vt:lpwstr>
  </property>
  <property fmtid="{D5CDD505-2E9C-101B-9397-08002B2CF9AE}" pid="8" name="MSIP_Label_40881dc9-f7f2-41de-a334-ceff3dc15b31_ContentBits">
    <vt:lpwstr>1</vt:lpwstr>
  </property>
</Properties>
</file>